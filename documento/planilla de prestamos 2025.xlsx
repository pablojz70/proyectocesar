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Mi unidad\Prestamos\"/>
    </mc:Choice>
  </mc:AlternateContent>
  <xr:revisionPtr revIDLastSave="0" documentId="13_ncr:1_{2CC008C4-BFF2-4EA3-B3AA-9D36598F1E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áfico1" sheetId="1" r:id="rId1"/>
    <sheet name="PRESTAMOS" sheetId="2" r:id="rId2"/>
    <sheet name="CLIENTES" sheetId="3" r:id="rId3"/>
    <sheet name="MANEJO CAPITALES Y EFECTIVO" sheetId="4" r:id="rId4"/>
    <sheet name="Hoja1" sheetId="5" r:id="rId5"/>
  </sheets>
  <calcPr calcId="191029"/>
  <extLst>
    <ext uri="GoogleSheetsCustomDataVersion2">
      <go:sheetsCustomData xmlns:go="http://customooxmlschemas.google.com/" r:id="" roundtripDataChecksum="riVfg1NVTx7MCrzt4czVwkn1fcwNGA46+gRoXfO5vZE="/>
    </ext>
  </extLst>
</workbook>
</file>

<file path=xl/calcChain.xml><?xml version="1.0" encoding="utf-8"?>
<calcChain xmlns="http://schemas.openxmlformats.org/spreadsheetml/2006/main">
  <c r="E63" i="2" l="1"/>
  <c r="I63" i="2" s="1"/>
  <c r="E64" i="2"/>
  <c r="I64" i="2" s="1"/>
  <c r="E65" i="2"/>
  <c r="I65" i="2" s="1"/>
  <c r="E66" i="2"/>
  <c r="I66" i="2" s="1"/>
  <c r="E67" i="2"/>
  <c r="I67" i="2" s="1"/>
  <c r="E68" i="2"/>
  <c r="I68" i="2" s="1"/>
  <c r="I69" i="2"/>
  <c r="E70" i="2"/>
  <c r="I70" i="2" s="1"/>
  <c r="C64" i="2"/>
  <c r="C65" i="2"/>
  <c r="C66" i="2"/>
  <c r="C67" i="2"/>
  <c r="C68" i="2"/>
  <c r="C69" i="2"/>
  <c r="C62" i="2"/>
  <c r="C63" i="2"/>
  <c r="C70" i="2"/>
  <c r="C51" i="2" l="1"/>
  <c r="E55" i="2" l="1"/>
  <c r="I55" i="2" s="1"/>
  <c r="E56" i="2"/>
  <c r="I56" i="2" s="1"/>
  <c r="E57" i="2"/>
  <c r="I57" i="2" s="1"/>
  <c r="E58" i="2"/>
  <c r="I58" i="2" s="1"/>
  <c r="E59" i="2"/>
  <c r="I59" i="2" s="1"/>
  <c r="E60" i="2"/>
  <c r="I60" i="2" s="1"/>
  <c r="I61" i="2"/>
  <c r="E62" i="2"/>
  <c r="I62" i="2" s="1"/>
  <c r="C55" i="2"/>
  <c r="C56" i="2"/>
  <c r="C57" i="2"/>
  <c r="C58" i="2"/>
  <c r="C59" i="2"/>
  <c r="C60" i="2"/>
  <c r="C61" i="2"/>
  <c r="E53" i="2" l="1"/>
  <c r="I53" i="2" s="1"/>
  <c r="E54" i="2"/>
  <c r="I54" i="2" s="1"/>
  <c r="C53" i="2"/>
  <c r="C54" i="2"/>
  <c r="E39" i="2" l="1"/>
  <c r="E38" i="2"/>
  <c r="E71" i="2" l="1"/>
  <c r="I71" i="2" s="1"/>
  <c r="I8" i="2" l="1"/>
  <c r="E51" i="2" l="1"/>
  <c r="I51" i="2" s="1"/>
  <c r="E52" i="2"/>
  <c r="I52" i="2" s="1"/>
  <c r="C52" i="2"/>
  <c r="E50" i="2" l="1"/>
  <c r="I50" i="2" s="1"/>
  <c r="C50" i="2"/>
  <c r="E49" i="2" l="1"/>
  <c r="I49" i="2" s="1"/>
  <c r="C49" i="2"/>
  <c r="C29" i="4" l="1"/>
  <c r="G19" i="4"/>
  <c r="F19" i="4"/>
  <c r="E19" i="4"/>
  <c r="D19" i="4"/>
  <c r="C19" i="4"/>
  <c r="C12" i="4"/>
  <c r="G6" i="4"/>
  <c r="F6" i="4"/>
  <c r="E6" i="4"/>
  <c r="D6" i="4"/>
  <c r="C6" i="4"/>
  <c r="E48" i="2"/>
  <c r="I48" i="2" s="1"/>
  <c r="C48" i="2"/>
  <c r="E47" i="2"/>
  <c r="I47" i="2" s="1"/>
  <c r="C47" i="2"/>
  <c r="E46" i="2"/>
  <c r="I46" i="2" s="1"/>
  <c r="C46" i="2"/>
  <c r="E45" i="2"/>
  <c r="I45" i="2" s="1"/>
  <c r="C45" i="2"/>
  <c r="E44" i="2"/>
  <c r="I44" i="2" s="1"/>
  <c r="C44" i="2"/>
  <c r="E43" i="2"/>
  <c r="I43" i="2" s="1"/>
  <c r="C43" i="2"/>
  <c r="E42" i="2"/>
  <c r="I42" i="2" s="1"/>
  <c r="C42" i="2"/>
  <c r="E41" i="2"/>
  <c r="I41" i="2" s="1"/>
  <c r="C41" i="2"/>
  <c r="E40" i="2"/>
  <c r="I40" i="2" s="1"/>
  <c r="C40" i="2"/>
  <c r="I39" i="2"/>
  <c r="C39" i="2"/>
  <c r="I38" i="2"/>
  <c r="C38" i="2"/>
  <c r="E37" i="2"/>
  <c r="I37" i="2" s="1"/>
  <c r="C37" i="2"/>
  <c r="E36" i="2"/>
  <c r="I36" i="2" s="1"/>
  <c r="C36" i="2"/>
  <c r="E35" i="2"/>
  <c r="I35" i="2" s="1"/>
  <c r="C35" i="2"/>
  <c r="E34" i="2"/>
  <c r="I34" i="2" s="1"/>
  <c r="C34" i="2"/>
  <c r="E33" i="2"/>
  <c r="I33" i="2" s="1"/>
  <c r="C33" i="2"/>
  <c r="E32" i="2"/>
  <c r="I32" i="2" s="1"/>
  <c r="C32" i="2"/>
  <c r="E31" i="2"/>
  <c r="I31" i="2" s="1"/>
  <c r="C31" i="2"/>
  <c r="E30" i="2"/>
  <c r="I30" i="2" s="1"/>
  <c r="C30" i="2"/>
  <c r="E29" i="2"/>
  <c r="I29" i="2" s="1"/>
  <c r="C29" i="2"/>
  <c r="E28" i="2"/>
  <c r="I28" i="2" s="1"/>
  <c r="C28" i="2"/>
  <c r="E27" i="2"/>
  <c r="I27" i="2" s="1"/>
  <c r="C27" i="2"/>
  <c r="E26" i="2"/>
  <c r="I26" i="2" s="1"/>
  <c r="C26" i="2"/>
  <c r="E25" i="2"/>
  <c r="I25" i="2" s="1"/>
  <c r="C25" i="2"/>
  <c r="E24" i="2"/>
  <c r="I24" i="2" s="1"/>
  <c r="C24" i="2"/>
  <c r="E23" i="2"/>
  <c r="I23" i="2" s="1"/>
  <c r="C23" i="2"/>
  <c r="E22" i="2"/>
  <c r="I22" i="2" s="1"/>
  <c r="C22" i="2"/>
  <c r="I21" i="2"/>
  <c r="C21" i="2"/>
  <c r="E20" i="2"/>
  <c r="I20" i="2" s="1"/>
  <c r="C20" i="2"/>
  <c r="E19" i="2"/>
  <c r="I19" i="2" s="1"/>
  <c r="C19" i="2"/>
  <c r="E18" i="2"/>
  <c r="I18" i="2" s="1"/>
  <c r="C18" i="2"/>
  <c r="E17" i="2"/>
  <c r="I17" i="2" s="1"/>
  <c r="C17" i="2"/>
  <c r="E16" i="2"/>
  <c r="I16" i="2" s="1"/>
  <c r="C16" i="2"/>
  <c r="E15" i="2"/>
  <c r="I15" i="2" s="1"/>
  <c r="C15" i="2"/>
  <c r="E14" i="2"/>
  <c r="I14" i="2" s="1"/>
  <c r="C14" i="2"/>
  <c r="E13" i="2"/>
  <c r="I13" i="2" s="1"/>
  <c r="C13" i="2"/>
  <c r="I12" i="2"/>
  <c r="C12" i="2"/>
  <c r="E11" i="2"/>
  <c r="I11" i="2" s="1"/>
  <c r="C11" i="2"/>
  <c r="E10" i="2"/>
  <c r="I10" i="2" s="1"/>
  <c r="C10" i="2"/>
  <c r="E9" i="2"/>
  <c r="I9" i="2" s="1"/>
  <c r="C9" i="2"/>
  <c r="C8" i="2"/>
  <c r="E7" i="2"/>
  <c r="I7" i="2" s="1"/>
  <c r="C7" i="2"/>
  <c r="E6" i="2"/>
  <c r="I6" i="2" s="1"/>
  <c r="C6" i="2"/>
  <c r="E5" i="2"/>
  <c r="I5" i="2" s="1"/>
  <c r="C5" i="2"/>
  <c r="C20" i="4" l="1"/>
  <c r="H6" i="4"/>
  <c r="I72" i="2"/>
  <c r="E72" i="2"/>
</calcChain>
</file>

<file path=xl/sharedStrings.xml><?xml version="1.0" encoding="utf-8"?>
<sst xmlns="http://schemas.openxmlformats.org/spreadsheetml/2006/main" count="824" uniqueCount="248">
  <si>
    <t>REGISTRO DE PRESTAMOS 2024</t>
  </si>
  <si>
    <t>DATOS PRESTAMO</t>
  </si>
  <si>
    <t xml:space="preserve"> ACTUALIZACION</t>
  </si>
  <si>
    <t>23/3/2024 9:27AM</t>
  </si>
  <si>
    <t xml:space="preserve">MESES </t>
  </si>
  <si>
    <t>CODIGO</t>
  </si>
  <si>
    <t>FECHA DE PRESTAMO</t>
  </si>
  <si>
    <t xml:space="preserve">NOMBRE DE CLIENTE </t>
  </si>
  <si>
    <t>CAPITAL PRESTADO</t>
  </si>
  <si>
    <t>CAPITAL POR PAGAR</t>
  </si>
  <si>
    <t>INTERES %</t>
  </si>
  <si>
    <t>FECHA DE PAGO</t>
  </si>
  <si>
    <t>GARANTIA</t>
  </si>
  <si>
    <t>INTERES A PAGAR $</t>
  </si>
  <si>
    <t xml:space="preserve">ABONOS </t>
  </si>
  <si>
    <t>FECHA ABONO</t>
  </si>
  <si>
    <t>OBSERVACION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</si>
  <si>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</si>
  <si>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</si>
  <si>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</si>
  <si>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</si>
  <si>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</si>
  <si>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</si>
  <si>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</si>
  <si>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</si>
  <si>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</si>
  <si>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</si>
  <si>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</si>
  <si>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</si>
  <si>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SIN GARANTIA</t>
  </si>
  <si>
    <t>apartamento</t>
  </si>
  <si>
    <t>se agrego 150 6/1/2025 Diana</t>
  </si>
  <si>
    <t xml:space="preserve">  </t>
  </si>
  <si>
    <t>pago 90</t>
  </si>
  <si>
    <t>pago 60</t>
  </si>
  <si>
    <t>Danco</t>
  </si>
  <si>
    <t>N/A</t>
  </si>
  <si>
    <t>Capital Luis + 60 cesar</t>
  </si>
  <si>
    <t>30/2/2025</t>
  </si>
  <si>
    <t>5/42025</t>
  </si>
  <si>
    <t>Reloj</t>
  </si>
  <si>
    <t>Jeny</t>
  </si>
  <si>
    <t>50 y se agregan 40 que pidio</t>
  </si>
  <si>
    <t>45/5/2025</t>
  </si>
  <si>
    <t>MISE</t>
  </si>
  <si>
    <t>debe 6$</t>
  </si>
  <si>
    <t xml:space="preserve"> </t>
  </si>
  <si>
    <t>Maykel</t>
  </si>
  <si>
    <t xml:space="preserve">Carlos Rodriguez </t>
  </si>
  <si>
    <t>Lisbeth</t>
  </si>
  <si>
    <t>BCV</t>
  </si>
  <si>
    <t>EFECTIVO / abono a las semana 200</t>
  </si>
  <si>
    <t>debe  4</t>
  </si>
  <si>
    <t>EFECTIVO/Luis</t>
  </si>
  <si>
    <t>Leidy</t>
  </si>
  <si>
    <t>BRAYAN</t>
  </si>
  <si>
    <t xml:space="preserve">BCV </t>
  </si>
  <si>
    <t>EURO</t>
  </si>
  <si>
    <t>efectivo</t>
  </si>
  <si>
    <t>bcv</t>
  </si>
  <si>
    <t>Euro</t>
  </si>
  <si>
    <t>apgo para el 30</t>
  </si>
  <si>
    <t xml:space="preserve">CAPITAL TRABAJANDO </t>
  </si>
  <si>
    <t xml:space="preserve">PROMEDIO DE GANACIA MENSUAL </t>
  </si>
  <si>
    <t>BASE DE DATOS CLIENTE</t>
  </si>
  <si>
    <t xml:space="preserve">CODIGO </t>
  </si>
  <si>
    <t xml:space="preserve">NOMBRE DEL CLIENTE </t>
  </si>
  <si>
    <t xml:space="preserve">CEDULA </t>
  </si>
  <si>
    <t>TELEFONO</t>
  </si>
  <si>
    <t>CORREO</t>
  </si>
  <si>
    <t>DIREECION</t>
  </si>
  <si>
    <t xml:space="preserve">REFERENCIA </t>
  </si>
  <si>
    <t>DANI FERNANADEZ</t>
  </si>
  <si>
    <t>DAR MERIDA</t>
  </si>
  <si>
    <t>CSAR</t>
  </si>
  <si>
    <t>YAJAIRA YELISMAR</t>
  </si>
  <si>
    <t>ALFREDO LARA</t>
  </si>
  <si>
    <t>YELISMAR</t>
  </si>
  <si>
    <t>CARLOS ALBARRAN</t>
  </si>
  <si>
    <t>EL PARAISO LOS CUROS</t>
  </si>
  <si>
    <t>LUIS WENRIT</t>
  </si>
  <si>
    <t>EJIDO</t>
  </si>
  <si>
    <t>WENRIT</t>
  </si>
  <si>
    <t>EDUARDO JUEZ</t>
  </si>
  <si>
    <t>CJP MERIDA</t>
  </si>
  <si>
    <t>WENDY LOBELI</t>
  </si>
  <si>
    <t>DIANA ARDILA</t>
  </si>
  <si>
    <t>MAYKEL DAVILA</t>
  </si>
  <si>
    <t>PADRE DUQUE 267</t>
  </si>
  <si>
    <t>GORDO MANUEL</t>
  </si>
  <si>
    <t>ASOPRIETO</t>
  </si>
  <si>
    <t xml:space="preserve">MARIA GONZALES </t>
  </si>
  <si>
    <t>MANUEL</t>
  </si>
  <si>
    <t>FERNANDO ABARRAN</t>
  </si>
  <si>
    <t>LOS CUROS PARAISO</t>
  </si>
  <si>
    <t>MIGUEL PEREZ</t>
  </si>
  <si>
    <t>LA MILAGROSA</t>
  </si>
  <si>
    <t>JHOSWAL SALINAS</t>
  </si>
  <si>
    <t>PUCHINI</t>
  </si>
  <si>
    <t>REINALDO DAVILA</t>
  </si>
  <si>
    <t>ALBER UZCATEGUI</t>
  </si>
  <si>
    <t>PADRE DUQUE 265</t>
  </si>
  <si>
    <t>LILIANA DURAN</t>
  </si>
  <si>
    <t>LOS CUROS</t>
  </si>
  <si>
    <t>JENIFFER YELISMAR</t>
  </si>
  <si>
    <t>EL PALMO</t>
  </si>
  <si>
    <t>YULIMAR PEÑA</t>
  </si>
  <si>
    <t>CENTENARIO</t>
  </si>
  <si>
    <t>CESAR</t>
  </si>
  <si>
    <t>RAFAEL MOLINA</t>
  </si>
  <si>
    <t>OATI</t>
  </si>
  <si>
    <t>JONATAN OSORIO</t>
  </si>
  <si>
    <t>EJIDO CAYE AYACUCHO</t>
  </si>
  <si>
    <t>LUIS</t>
  </si>
  <si>
    <t>VALENTINA ALBERT</t>
  </si>
  <si>
    <t>BOTICARIO</t>
  </si>
  <si>
    <t>ALBERT UZCATEGUI</t>
  </si>
  <si>
    <t>ANABERLY RONDON</t>
  </si>
  <si>
    <t>JOSE GREGORIO KOLORES</t>
  </si>
  <si>
    <t>KOLORES</t>
  </si>
  <si>
    <t>CLIENTE NANITO</t>
  </si>
  <si>
    <t>ANDINITO</t>
  </si>
  <si>
    <t>NANO</t>
  </si>
  <si>
    <t>LINDA ALBERT</t>
  </si>
  <si>
    <t>ALBARO DUGARTE</t>
  </si>
  <si>
    <t>LOS CUROS - CHILE</t>
  </si>
  <si>
    <t>CESAR CHOURIO</t>
  </si>
  <si>
    <t>POLLA</t>
  </si>
  <si>
    <t>EJIDO SANMIGUE</t>
  </si>
  <si>
    <t>DIONY</t>
  </si>
  <si>
    <t>TRUBUNAL EDF HERMES</t>
  </si>
  <si>
    <t>YOSBER</t>
  </si>
  <si>
    <t xml:space="preserve">EJIDO </t>
  </si>
  <si>
    <t>MILANA MEDINA</t>
  </si>
  <si>
    <t>VICTOR DELGADO</t>
  </si>
  <si>
    <t>PUENTE LA PEDREGOSA</t>
  </si>
  <si>
    <t>NORBEDY ROJAS</t>
  </si>
  <si>
    <t>MARIELBA PUCHINI</t>
  </si>
  <si>
    <t>MARIA MERCEDEZ</t>
  </si>
  <si>
    <t xml:space="preserve">JACKSON JAIMES </t>
  </si>
  <si>
    <t>+58 414-7088044</t>
  </si>
  <si>
    <t>JONY LACRUZ</t>
  </si>
  <si>
    <t>IVAN RODRIGUEZ</t>
  </si>
  <si>
    <t>MAHINET UZCATEGUI</t>
  </si>
  <si>
    <t>KOLORES MERIDA</t>
  </si>
  <si>
    <t>CESAR RUIZ</t>
  </si>
  <si>
    <t>JEAN PIERO SULBARAN</t>
  </si>
  <si>
    <t>HERVIS CHOURIO</t>
  </si>
  <si>
    <t>FAMILIA</t>
  </si>
  <si>
    <t>LISBETH MORALES</t>
  </si>
  <si>
    <t>ABG. JOSE GREGORIO</t>
  </si>
  <si>
    <t>EVA DIANA</t>
  </si>
  <si>
    <t>Diana Ardila</t>
  </si>
  <si>
    <t>DOUGLAS PUENTE</t>
  </si>
  <si>
    <t>JULIET</t>
  </si>
  <si>
    <t>RICARDO</t>
  </si>
  <si>
    <t>ALGUACIL</t>
  </si>
  <si>
    <t>MARIA FLORES</t>
  </si>
  <si>
    <t>COMADRE</t>
  </si>
  <si>
    <t>PAOLA MARQUINA</t>
  </si>
  <si>
    <t>MARIA QUINTANA GUAYABA</t>
  </si>
  <si>
    <t>DANIEL PEREZ</t>
  </si>
  <si>
    <t>los curos</t>
  </si>
  <si>
    <t>albert</t>
  </si>
  <si>
    <t>WENTIR</t>
  </si>
  <si>
    <t>DIEGO VALENTICA</t>
  </si>
  <si>
    <t>VALENTINA</t>
  </si>
  <si>
    <t>VALENTICA</t>
  </si>
  <si>
    <t>WENRTIR CORRO</t>
  </si>
  <si>
    <t>MARICELA RUIZ</t>
  </si>
  <si>
    <t>LUCIA QUINTERO</t>
  </si>
  <si>
    <t>JOSE IGNACIO</t>
  </si>
  <si>
    <t xml:space="preserve">Jean Paul </t>
  </si>
  <si>
    <t>Ivhon</t>
  </si>
  <si>
    <t>JUNIOR RONDON</t>
  </si>
  <si>
    <t>CI 18308102</t>
  </si>
  <si>
    <t>MAYRA DAR</t>
  </si>
  <si>
    <t>KAWY</t>
  </si>
  <si>
    <t>CESAR ROBLE</t>
  </si>
  <si>
    <t>ROSA DAR</t>
  </si>
  <si>
    <t>LUIS URBINA</t>
  </si>
  <si>
    <t>WENDY RONDON</t>
  </si>
  <si>
    <t>KAREN VERGARA</t>
  </si>
  <si>
    <t>ANYI CASTILLO</t>
  </si>
  <si>
    <t>DAR</t>
  </si>
  <si>
    <t>JOINER</t>
  </si>
  <si>
    <t>ENRIQUE APONTE</t>
  </si>
  <si>
    <t>LUIS AOCHA</t>
  </si>
  <si>
    <t xml:space="preserve"> 412-9256011</t>
  </si>
  <si>
    <t>BARBERO</t>
  </si>
  <si>
    <t>+58 424-7779515</t>
  </si>
  <si>
    <t>Miguel Gonzales</t>
  </si>
  <si>
    <t>+58 412-7999800</t>
  </si>
  <si>
    <t>Sobrin Luis</t>
  </si>
  <si>
    <t>LUISANA MESA</t>
  </si>
  <si>
    <t>HERMANA GUSTAVO</t>
  </si>
  <si>
    <t>AICHA KOLORES</t>
  </si>
  <si>
    <t>Q</t>
  </si>
  <si>
    <t>ROSANGELA MEDINA</t>
  </si>
  <si>
    <t>YONATHAN GAMES</t>
  </si>
  <si>
    <t>MARYULIS PERNIA</t>
  </si>
  <si>
    <t>BRENDA VERGADA</t>
  </si>
  <si>
    <t>SUSAN MARQUEZ</t>
  </si>
  <si>
    <t>PASANTE</t>
  </si>
  <si>
    <t>JUAN RONDON</t>
  </si>
  <si>
    <t>EFECTIVO</t>
  </si>
  <si>
    <t>DENOMINACION</t>
  </si>
  <si>
    <t>CANTIDAD</t>
  </si>
  <si>
    <t>TOTAL</t>
  </si>
  <si>
    <t>CAPITAL EN CAJA</t>
  </si>
  <si>
    <t>BANCAMIGA</t>
  </si>
  <si>
    <t>CAPTAL ANTONY</t>
  </si>
  <si>
    <t>Prestados</t>
  </si>
  <si>
    <t xml:space="preserve">Disponible </t>
  </si>
  <si>
    <t xml:space="preserve">CONTEJO DE CAJA </t>
  </si>
  <si>
    <t>efectivo por cobrar</t>
  </si>
  <si>
    <t>intereses vencidos</t>
  </si>
  <si>
    <t xml:space="preserve">Binance </t>
  </si>
  <si>
    <t>biget</t>
  </si>
  <si>
    <t>bibit</t>
  </si>
  <si>
    <t>Total Disponoble</t>
  </si>
  <si>
    <t>Efectivo</t>
  </si>
  <si>
    <t xml:space="preserve">ENERO </t>
  </si>
  <si>
    <t>Luis (Nana)</t>
  </si>
  <si>
    <t>CARMEN HERNANDEZ</t>
  </si>
  <si>
    <t>MARIA DE LOS ANGELES REINALDO</t>
  </si>
  <si>
    <t>SULMA</t>
  </si>
  <si>
    <t>+58 426-4547007</t>
  </si>
  <si>
    <t>EURo / Alexandra</t>
  </si>
  <si>
    <t>Hermano</t>
  </si>
  <si>
    <t>JONY ARCHIVO</t>
  </si>
  <si>
    <t>NAVOR</t>
  </si>
  <si>
    <t>CARLOS AVILA</t>
  </si>
  <si>
    <t>CJ`P</t>
  </si>
  <si>
    <t>ALVARO DUGARTE</t>
  </si>
  <si>
    <t>Carlin Lozada</t>
  </si>
  <si>
    <t>º</t>
  </si>
  <si>
    <t>Cristian Nieto</t>
  </si>
  <si>
    <t>Pablo Dar</t>
  </si>
  <si>
    <t>Daniel Uzcategui</t>
  </si>
  <si>
    <t>+58 422-0230668</t>
  </si>
  <si>
    <t>debe 8</t>
  </si>
  <si>
    <t>debe 10</t>
  </si>
  <si>
    <t>efecgivo</t>
  </si>
  <si>
    <t>AHICHA KOLORES</t>
  </si>
  <si>
    <t>binance</t>
  </si>
  <si>
    <t>Binance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</si>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</sst>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[$$-1C0A]#,##0.00"/>
  </numFmts>
  <fonts count="15" x14ac:knownFonts="1">
    <font>
      <sz val="11"/>
      <color theme="1"/>
      <name val="Calibri"/>
      <scheme val="minor"/>
    </font>
    <font>
      <b/>
      <i/>
      <u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59999389629810485"/>
        <b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4" fillId="2" borderId="2" xfId="0" applyNumberFormat="1" applyFont="1" applyFill="1" applyBorder="1"/>
    <xf numFmtId="0" fontId="6" fillId="3" borderId="2" xfId="0" applyFont="1" applyFill="1" applyBorder="1"/>
    <xf numFmtId="164" fontId="4" fillId="2" borderId="2" xfId="0" applyNumberFormat="1" applyFont="1" applyFill="1" applyBorder="1"/>
    <xf numFmtId="9" fontId="4" fillId="2" borderId="2" xfId="0" applyNumberFormat="1" applyFont="1" applyFill="1" applyBorder="1"/>
    <xf numFmtId="165" fontId="4" fillId="2" borderId="2" xfId="0" applyNumberFormat="1" applyFont="1" applyFill="1" applyBorder="1"/>
    <xf numFmtId="0" fontId="7" fillId="4" borderId="5" xfId="0" applyFont="1" applyFill="1" applyBorder="1"/>
    <xf numFmtId="0" fontId="7" fillId="4" borderId="3" xfId="0" applyFont="1" applyFill="1" applyBorder="1"/>
    <xf numFmtId="0" fontId="6" fillId="3" borderId="3" xfId="0" applyFont="1" applyFill="1" applyBorder="1"/>
    <xf numFmtId="0" fontId="5" fillId="0" borderId="3" xfId="0" applyFont="1" applyBorder="1"/>
    <xf numFmtId="0" fontId="7" fillId="4" borderId="2" xfId="0" applyFont="1" applyFill="1" applyBorder="1"/>
    <xf numFmtId="0" fontId="5" fillId="0" borderId="0" xfId="0" applyFont="1"/>
    <xf numFmtId="0" fontId="7" fillId="4" borderId="6" xfId="0" applyFont="1" applyFill="1" applyBorder="1"/>
    <xf numFmtId="14" fontId="7" fillId="4" borderId="5" xfId="0" applyNumberFormat="1" applyFont="1" applyFill="1" applyBorder="1"/>
    <xf numFmtId="0" fontId="7" fillId="4" borderId="7" xfId="0" applyFont="1" applyFill="1" applyBorder="1"/>
    <xf numFmtId="0" fontId="4" fillId="2" borderId="5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14" fontId="4" fillId="2" borderId="2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2" fillId="2" borderId="2" xfId="0" applyFont="1" applyFill="1" applyBorder="1"/>
    <xf numFmtId="164" fontId="5" fillId="0" borderId="0" xfId="0" applyNumberFormat="1" applyFont="1"/>
    <xf numFmtId="165" fontId="5" fillId="0" borderId="0" xfId="0" applyNumberFormat="1" applyFont="1"/>
    <xf numFmtId="0" fontId="2" fillId="0" borderId="3" xfId="0" applyFont="1" applyBorder="1" applyAlignment="1">
      <alignment horizontal="center"/>
    </xf>
    <xf numFmtId="0" fontId="4" fillId="2" borderId="12" xfId="0" applyFont="1" applyFill="1" applyBorder="1"/>
    <xf numFmtId="0" fontId="10" fillId="0" borderId="13" xfId="0" applyFont="1" applyBorder="1"/>
    <xf numFmtId="164" fontId="10" fillId="0" borderId="14" xfId="0" applyNumberFormat="1" applyFont="1" applyBorder="1"/>
    <xf numFmtId="164" fontId="10" fillId="0" borderId="15" xfId="0" applyNumberFormat="1" applyFont="1" applyBorder="1"/>
    <xf numFmtId="164" fontId="10" fillId="0" borderId="16" xfId="0" applyNumberFormat="1" applyFont="1" applyBorder="1"/>
    <xf numFmtId="0" fontId="10" fillId="0" borderId="17" xfId="0" applyFont="1" applyBorder="1"/>
    <xf numFmtId="4" fontId="5" fillId="0" borderId="18" xfId="0" applyNumberFormat="1" applyFont="1" applyBorder="1"/>
    <xf numFmtId="4" fontId="5" fillId="0" borderId="19" xfId="0" applyNumberFormat="1" applyFont="1" applyBorder="1"/>
    <xf numFmtId="0" fontId="10" fillId="0" borderId="20" xfId="0" applyFont="1" applyBorder="1"/>
    <xf numFmtId="164" fontId="5" fillId="0" borderId="21" xfId="0" applyNumberFormat="1" applyFont="1" applyBorder="1"/>
    <xf numFmtId="164" fontId="5" fillId="0" borderId="3" xfId="0" applyNumberFormat="1" applyFont="1" applyBorder="1"/>
    <xf numFmtId="0" fontId="10" fillId="0" borderId="22" xfId="0" applyFont="1" applyBorder="1"/>
    <xf numFmtId="4" fontId="5" fillId="0" borderId="0" xfId="0" applyNumberFormat="1" applyFont="1"/>
    <xf numFmtId="0" fontId="11" fillId="6" borderId="2" xfId="1" applyBorder="1"/>
    <xf numFmtId="0" fontId="11" fillId="6" borderId="3" xfId="1" applyBorder="1"/>
    <xf numFmtId="0" fontId="12" fillId="7" borderId="2" xfId="2" applyBorder="1"/>
    <xf numFmtId="0" fontId="13" fillId="2" borderId="2" xfId="0" applyFont="1" applyFill="1" applyBorder="1"/>
    <xf numFmtId="0" fontId="5" fillId="0" borderId="24" xfId="0" applyFont="1" applyBorder="1"/>
    <xf numFmtId="0" fontId="12" fillId="7" borderId="24" xfId="2" applyBorder="1"/>
    <xf numFmtId="0" fontId="11" fillId="6" borderId="24" xfId="1" applyBorder="1"/>
    <xf numFmtId="0" fontId="7" fillId="4" borderId="24" xfId="0" applyFont="1" applyFill="1" applyBorder="1"/>
    <xf numFmtId="0" fontId="6" fillId="8" borderId="24" xfId="0" applyFont="1" applyFill="1" applyBorder="1"/>
    <xf numFmtId="0" fontId="6" fillId="3" borderId="24" xfId="0" applyFont="1" applyFill="1" applyBorder="1"/>
    <xf numFmtId="0" fontId="0" fillId="0" borderId="23" xfId="0" applyBorder="1"/>
    <xf numFmtId="0" fontId="5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4" fontId="4" fillId="2" borderId="5" xfId="0" applyNumberFormat="1" applyFont="1" applyFill="1" applyBorder="1"/>
    <xf numFmtId="164" fontId="4" fillId="2" borderId="25" xfId="0" applyNumberFormat="1" applyFont="1" applyFill="1" applyBorder="1"/>
    <xf numFmtId="0" fontId="12" fillId="7" borderId="26" xfId="2" applyBorder="1"/>
    <xf numFmtId="0" fontId="6" fillId="3" borderId="23" xfId="0" applyFont="1" applyFill="1" applyBorder="1"/>
    <xf numFmtId="0" fontId="12" fillId="7" borderId="23" xfId="2" applyBorder="1"/>
    <xf numFmtId="0" fontId="12" fillId="7" borderId="23" xfId="2" applyBorder="1" applyAlignment="1"/>
    <xf numFmtId="0" fontId="11" fillId="6" borderId="23" xfId="1" applyBorder="1" applyAlignment="1"/>
    <xf numFmtId="0" fontId="11" fillId="6" borderId="23" xfId="1" applyBorder="1"/>
    <xf numFmtId="0" fontId="12" fillId="9" borderId="24" xfId="2" applyFill="1" applyBorder="1"/>
    <xf numFmtId="0" fontId="12" fillId="9" borderId="23" xfId="2" applyFill="1" applyBorder="1" applyAlignment="1"/>
    <xf numFmtId="0" fontId="6" fillId="10" borderId="24" xfId="0" applyFont="1" applyFill="1" applyBorder="1"/>
    <xf numFmtId="0" fontId="0" fillId="9" borderId="23" xfId="0" applyFill="1" applyBorder="1"/>
    <xf numFmtId="0" fontId="5" fillId="9" borderId="23" xfId="0" applyFont="1" applyFill="1" applyBorder="1"/>
    <xf numFmtId="14" fontId="13" fillId="2" borderId="2" xfId="0" applyNumberFormat="1" applyFont="1" applyFill="1" applyBorder="1"/>
    <xf numFmtId="0" fontId="11" fillId="6" borderId="6" xfId="1" applyBorder="1"/>
    <xf numFmtId="0" fontId="11" fillId="6" borderId="0" xfId="1"/>
    <xf numFmtId="0" fontId="11" fillId="6" borderId="27" xfId="1" applyBorder="1"/>
    <xf numFmtId="0" fontId="0" fillId="0" borderId="28" xfId="0" applyBorder="1"/>
    <xf numFmtId="0" fontId="12" fillId="7" borderId="28" xfId="2" applyBorder="1"/>
    <xf numFmtId="0" fontId="11" fillId="6" borderId="28" xfId="1" applyBorder="1"/>
    <xf numFmtId="0" fontId="11" fillId="6" borderId="28" xfId="1" applyBorder="1" applyAlignment="1"/>
    <xf numFmtId="0" fontId="0" fillId="0" borderId="6" xfId="0" applyBorder="1"/>
    <xf numFmtId="0" fontId="12" fillId="7" borderId="6" xfId="2" applyBorder="1"/>
    <xf numFmtId="0" fontId="14" fillId="2" borderId="2" xfId="0" applyFont="1" applyFill="1" applyBorder="1"/>
    <xf numFmtId="0" fontId="11" fillId="6" borderId="8" xfId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horizontal="center"/>
    </xf>
    <xf numFmtId="0" fontId="9" fillId="0" borderId="9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2" fillId="0" borderId="9" xfId="0" applyFont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9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PRESTAMOS!$R$8</c:f>
            </c:numRef>
          </c:val>
          <c:extLst>
            <c:ext xmlns:c16="http://schemas.microsoft.com/office/drawing/2014/chart" uri="{C3380CC4-5D6E-409C-BE32-E72D297353CC}">
              <c16:uniqueId val="{00000000-7053-41E3-AC8D-35BC377C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684928"/>
        <c:axId val="248686848"/>
      </c:barChart>
      <c:catAx>
        <c:axId val="24868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V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VE"/>
          </a:p>
        </c:txPr>
        <c:crossAx val="248686848"/>
        <c:crosses val="autoZero"/>
        <c:auto val="1"/>
        <c:lblAlgn val="ctr"/>
        <c:lblOffset val="100"/>
        <c:noMultiLvlLbl val="1"/>
      </c:catAx>
      <c:valAx>
        <c:axId val="24868684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48684928"/>
        <c:crosses val="autoZero"/>
        <c:crossBetween val="between"/>
      </c:valAx>
    </c:plotArea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704532195" name="Chart 1">
          <a:extLst>
            <a:ext uri="{FF2B5EF4-FFF2-40B4-BE49-F238E27FC236}">
              <a16:creationId xmlns:a16="http://schemas.microsoft.com/office/drawing/2014/main" id="{00000000-0008-0000-0000-0000E34EF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4"/>
  <sheetViews>
    <sheetView tabSelected="1" zoomScale="85" zoomScaleNormal="85" zoomScaleSheetLayoutView="115" workbookViewId="0">
      <pane xSplit="25" ySplit="4" topLeftCell="AB35" activePane="bottomRight" state="frozen"/>
      <selection pane="topRight" activeCell="Z1" sqref="Z1"/>
      <selection pane="bottomLeft" activeCell="A5" sqref="A5"/>
      <selection pane="bottomRight" activeCell="A59" sqref="A59:XFD59"/>
    </sheetView>
  </sheetViews>
  <sheetFormatPr defaultColWidth="14.42578125" defaultRowHeight="15" customHeight="1" x14ac:dyDescent="0.25"/>
  <cols>
    <col min="1" max="1" width="7.28515625" customWidth="1"/>
    <col min="2" max="2" width="14.85546875" customWidth="1"/>
    <col min="3" max="3" width="19.42578125" customWidth="1"/>
    <col min="4" max="4" width="14" customWidth="1"/>
    <col min="5" max="5" width="16.5703125" customWidth="1"/>
    <col min="6" max="6" width="10.7109375" customWidth="1"/>
    <col min="7" max="7" width="18.28515625" customWidth="1"/>
    <col min="8" max="8" width="15.85546875" customWidth="1"/>
    <col min="9" max="9" width="11.28515625" customWidth="1"/>
    <col min="10" max="10" width="16.7109375" customWidth="1"/>
    <col min="11" max="11" width="9.7109375" customWidth="1"/>
    <col min="12" max="12" width="32.7109375" customWidth="1"/>
    <col min="13" max="13" width="3.140625" customWidth="1"/>
    <col min="14" max="14" width="8.28515625" hidden="1" customWidth="1"/>
    <col min="15" max="15" width="7.5703125" hidden="1" customWidth="1"/>
    <col min="16" max="16" width="7.85546875" hidden="1" customWidth="1"/>
    <col min="17" max="17" width="8.5703125" hidden="1" customWidth="1"/>
    <col min="18" max="18" width="3.5703125" hidden="1" customWidth="1"/>
    <col min="19" max="20" width="10.7109375" hidden="1" customWidth="1"/>
    <col min="21" max="21" width="12.85546875" customWidth="1"/>
    <col min="22" max="22" width="10.7109375" customWidth="1"/>
    <col min="23" max="23" width="12.7109375" customWidth="1"/>
    <col min="24" max="24" width="10.7109375" customWidth="1"/>
    <col min="25" max="25" width="13.85546875" customWidth="1"/>
    <col min="26" max="26" width="12.85546875" customWidth="1"/>
  </cols>
  <sheetData>
    <row r="1" spans="1:31" ht="15" customHeight="1" x14ac:dyDescent="0.25">
      <c r="A1" s="83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31" ht="1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31" x14ac:dyDescent="0.25">
      <c r="A3" s="84" t="s">
        <v>1</v>
      </c>
      <c r="B3" s="82"/>
      <c r="C3" s="82"/>
      <c r="D3" s="82"/>
      <c r="E3" s="82"/>
      <c r="F3" s="82"/>
      <c r="G3" s="82"/>
      <c r="H3" s="82"/>
      <c r="I3" s="82"/>
      <c r="J3" s="82"/>
      <c r="K3" s="2" t="s">
        <v>2</v>
      </c>
      <c r="L3" s="2" t="s">
        <v>3</v>
      </c>
      <c r="M3" s="2"/>
      <c r="N3" s="85" t="s">
        <v>4</v>
      </c>
      <c r="O3" s="86"/>
      <c r="P3" s="86"/>
      <c r="Q3" s="86"/>
      <c r="R3" s="86"/>
      <c r="S3" s="86"/>
      <c r="T3" s="86"/>
      <c r="U3" s="86"/>
      <c r="V3" s="86"/>
      <c r="W3" s="86"/>
      <c r="X3" s="86"/>
    </row>
    <row r="4" spans="1:31" ht="54.75" customHeight="1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4" t="s">
        <v>14</v>
      </c>
      <c r="K4" s="4" t="s">
        <v>15</v>
      </c>
      <c r="L4" s="4" t="s">
        <v>16</v>
      </c>
      <c r="N4" s="5" t="s">
        <v>17</v>
      </c>
      <c r="O4" s="6" t="s">
        <v>18</v>
      </c>
      <c r="P4" s="6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4" t="s">
        <v>17</v>
      </c>
      <c r="AA4" s="55" t="s">
        <v>222</v>
      </c>
      <c r="AB4" s="55" t="s">
        <v>19</v>
      </c>
      <c r="AC4" s="55" t="s">
        <v>20</v>
      </c>
      <c r="AD4" s="55" t="s">
        <v>21</v>
      </c>
      <c r="AE4" s="55" t="s">
        <v>22</v>
      </c>
    </row>
    <row r="5" spans="1:31" x14ac:dyDescent="0.25">
      <c r="A5" s="4">
        <v>104</v>
      </c>
      <c r="B5" s="7">
        <v>45611</v>
      </c>
      <c r="C5" s="8" t="str">
        <f>+VLOOKUP(A5,CLIENTES!$A$4:$B$487,2,FALSE)</f>
        <v>LUIS WENRIT</v>
      </c>
      <c r="D5" s="9">
        <v>210</v>
      </c>
      <c r="E5" s="9">
        <f t="shared" ref="E5:E7" si="0">D5-J5</f>
        <v>210</v>
      </c>
      <c r="F5" s="10">
        <v>0.15</v>
      </c>
      <c r="G5" s="7">
        <v>45611</v>
      </c>
      <c r="H5" s="4" t="s">
        <v>29</v>
      </c>
      <c r="I5" s="11">
        <f t="shared" ref="I5:I8" si="1">(E5*F5)/1</f>
        <v>31.5</v>
      </c>
      <c r="J5" s="11">
        <v>0</v>
      </c>
      <c r="K5" s="4"/>
      <c r="L5" s="4"/>
      <c r="N5" s="12"/>
      <c r="O5" s="13"/>
      <c r="P5" s="13"/>
      <c r="Q5" s="13"/>
      <c r="R5" s="13"/>
      <c r="S5" s="13"/>
      <c r="T5" s="13"/>
      <c r="U5" s="13"/>
      <c r="V5" s="13"/>
      <c r="W5" s="14"/>
      <c r="X5" s="14"/>
      <c r="Y5" s="14"/>
      <c r="Z5" s="48"/>
      <c r="AA5" s="61"/>
      <c r="AB5" s="61"/>
      <c r="AC5" s="61"/>
      <c r="AD5" s="74"/>
      <c r="AE5" s="60"/>
    </row>
    <row r="6" spans="1:31" x14ac:dyDescent="0.25">
      <c r="A6" s="4">
        <v>111</v>
      </c>
      <c r="B6" s="7">
        <v>45649</v>
      </c>
      <c r="C6" s="8" t="str">
        <f>+VLOOKUP(A6,CLIENTES!$A$4:$B$487,2,FALSE)</f>
        <v>MIGUEL PEREZ</v>
      </c>
      <c r="D6" s="9">
        <v>100</v>
      </c>
      <c r="E6" s="9">
        <f t="shared" si="0"/>
        <v>100</v>
      </c>
      <c r="F6" s="10">
        <v>0.15</v>
      </c>
      <c r="G6" s="7">
        <v>45649</v>
      </c>
      <c r="H6" s="4" t="s">
        <v>29</v>
      </c>
      <c r="I6" s="11">
        <f t="shared" si="1"/>
        <v>15</v>
      </c>
      <c r="J6" s="11">
        <v>0</v>
      </c>
      <c r="K6" s="4"/>
      <c r="L6" s="4"/>
      <c r="N6" s="12"/>
      <c r="O6" s="13"/>
      <c r="P6" s="13"/>
      <c r="Q6" s="13"/>
      <c r="R6" s="13"/>
      <c r="S6" s="14">
        <v>10</v>
      </c>
      <c r="T6" s="14">
        <v>15</v>
      </c>
      <c r="U6" s="14">
        <v>15</v>
      </c>
      <c r="V6" s="14"/>
      <c r="W6" s="14"/>
      <c r="X6" s="14"/>
      <c r="Y6" s="14"/>
      <c r="Z6" s="47"/>
      <c r="AA6" s="61"/>
      <c r="AB6" s="61"/>
      <c r="AC6" s="61"/>
      <c r="AD6" s="73"/>
      <c r="AE6" s="53"/>
    </row>
    <row r="7" spans="1:31" ht="12.75" customHeight="1" x14ac:dyDescent="0.25">
      <c r="A7" s="4">
        <v>113</v>
      </c>
      <c r="B7" s="7">
        <v>45288</v>
      </c>
      <c r="C7" s="45" t="str">
        <f>+VLOOKUP(A7,CLIENTES!$A$4:$B$487,2,FALSE)</f>
        <v>REINALDO DAVILA</v>
      </c>
      <c r="D7" s="9">
        <v>55</v>
      </c>
      <c r="E7" s="9">
        <f t="shared" si="0"/>
        <v>55</v>
      </c>
      <c r="F7" s="10">
        <v>0.15</v>
      </c>
      <c r="G7" s="7">
        <v>45319</v>
      </c>
      <c r="H7" s="4" t="s">
        <v>29</v>
      </c>
      <c r="I7" s="11">
        <f t="shared" si="1"/>
        <v>8.25</v>
      </c>
      <c r="J7" s="11">
        <v>0</v>
      </c>
      <c r="K7" s="4"/>
      <c r="L7" s="4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48"/>
      <c r="AA7" s="61"/>
      <c r="AB7" s="61"/>
      <c r="AC7" s="61"/>
      <c r="AD7" s="74"/>
      <c r="AE7" s="53"/>
    </row>
    <row r="8" spans="1:31" ht="15.75" customHeight="1" x14ac:dyDescent="0.25">
      <c r="A8" s="4">
        <v>122</v>
      </c>
      <c r="B8" s="7">
        <v>45377</v>
      </c>
      <c r="C8" s="43" t="str">
        <f>+VLOOKUP(A8,CLIENTES!$A$4:$B$487,2,FALSE)</f>
        <v>ANABERLY RONDON</v>
      </c>
      <c r="D8" s="9">
        <v>1400</v>
      </c>
      <c r="E8" s="9">
        <v>0</v>
      </c>
      <c r="F8" s="10">
        <v>0.2</v>
      </c>
      <c r="G8" s="7">
        <v>45042</v>
      </c>
      <c r="H8" s="4" t="s">
        <v>30</v>
      </c>
      <c r="I8" s="11">
        <f t="shared" si="1"/>
        <v>0</v>
      </c>
      <c r="J8" s="11">
        <v>14000</v>
      </c>
      <c r="K8" s="4"/>
      <c r="L8" s="4"/>
      <c r="M8" s="17"/>
      <c r="N8" s="12"/>
      <c r="O8" s="12"/>
      <c r="P8" s="13"/>
      <c r="Q8" s="13"/>
      <c r="R8" s="13"/>
      <c r="S8" s="18"/>
      <c r="T8" s="13"/>
      <c r="U8" s="14"/>
      <c r="V8" s="14"/>
      <c r="W8" s="14"/>
      <c r="X8" s="14"/>
      <c r="Y8" s="15"/>
      <c r="Z8" s="47"/>
      <c r="AA8" s="53"/>
      <c r="AB8" s="53"/>
      <c r="AC8" s="63"/>
      <c r="AD8" s="75"/>
      <c r="AE8" s="53"/>
    </row>
    <row r="9" spans="1:31" ht="15" customHeight="1" x14ac:dyDescent="0.25">
      <c r="A9" s="4">
        <v>128</v>
      </c>
      <c r="B9" s="7">
        <v>45458</v>
      </c>
      <c r="C9" s="45" t="str">
        <f>+VLOOKUP(A9,CLIENTES!$A$4:$B$487,2,FALSE)</f>
        <v>DIONY</v>
      </c>
      <c r="D9" s="9">
        <v>150</v>
      </c>
      <c r="E9" s="9">
        <f t="shared" ref="E9:E11" si="2">D9-J9</f>
        <v>150</v>
      </c>
      <c r="F9" s="10">
        <v>0.15</v>
      </c>
      <c r="G9" s="7">
        <v>45480</v>
      </c>
      <c r="H9" s="4" t="s">
        <v>29</v>
      </c>
      <c r="I9" s="11">
        <f t="shared" ref="I9:I71" si="3">(E9*F9)/1</f>
        <v>22.5</v>
      </c>
      <c r="J9" s="11">
        <v>0</v>
      </c>
      <c r="K9" s="4"/>
      <c r="L9" s="4"/>
      <c r="M9" s="17"/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49"/>
      <c r="AA9" s="62"/>
      <c r="AB9" s="62"/>
      <c r="AC9" s="62"/>
      <c r="AD9" s="75"/>
      <c r="AE9" s="60"/>
    </row>
    <row r="10" spans="1:31" ht="15" customHeight="1" x14ac:dyDescent="0.25">
      <c r="A10" s="4">
        <v>130</v>
      </c>
      <c r="B10" s="7">
        <v>45467</v>
      </c>
      <c r="C10" s="43" t="str">
        <f>+VLOOKUP(A10,CLIENTES!$A$4:$B$487,2,FALSE)</f>
        <v>MILANA MEDINA</v>
      </c>
      <c r="D10" s="9">
        <v>100</v>
      </c>
      <c r="E10" s="9">
        <f t="shared" si="2"/>
        <v>20</v>
      </c>
      <c r="F10" s="10">
        <v>0.15</v>
      </c>
      <c r="G10" s="7">
        <v>45467</v>
      </c>
      <c r="H10" s="4" t="s">
        <v>29</v>
      </c>
      <c r="I10" s="11">
        <f t="shared" si="3"/>
        <v>3</v>
      </c>
      <c r="J10" s="11">
        <v>80</v>
      </c>
      <c r="K10" s="4"/>
      <c r="L10" s="4" t="s">
        <v>229</v>
      </c>
      <c r="M10" s="17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49"/>
      <c r="AA10" s="62"/>
      <c r="AB10" s="62"/>
      <c r="AC10" s="62"/>
      <c r="AD10" s="75"/>
      <c r="AE10" s="53"/>
    </row>
    <row r="11" spans="1:31" ht="15.75" customHeight="1" x14ac:dyDescent="0.25">
      <c r="A11" s="4">
        <v>132</v>
      </c>
      <c r="B11" s="7">
        <v>45475</v>
      </c>
      <c r="C11" s="43" t="str">
        <f>+VLOOKUP(A11,CLIENTES!$A$4:$B$487,2,FALSE)</f>
        <v>NORBEDY ROJAS</v>
      </c>
      <c r="D11" s="9">
        <v>350</v>
      </c>
      <c r="E11" s="9">
        <f t="shared" si="2"/>
        <v>100</v>
      </c>
      <c r="F11" s="10">
        <v>0.1</v>
      </c>
      <c r="G11" s="7">
        <v>45506</v>
      </c>
      <c r="H11" s="4" t="s">
        <v>29</v>
      </c>
      <c r="I11" s="11">
        <f t="shared" si="3"/>
        <v>10</v>
      </c>
      <c r="J11" s="11">
        <v>250</v>
      </c>
      <c r="K11" s="4"/>
      <c r="L11" s="4" t="s">
        <v>31</v>
      </c>
      <c r="M11" s="17"/>
      <c r="N11" s="19">
        <v>45597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50"/>
      <c r="AA11" s="62"/>
      <c r="AB11" s="62"/>
      <c r="AC11" s="62"/>
      <c r="AD11" s="75"/>
      <c r="AE11" s="63"/>
    </row>
    <row r="12" spans="1:31" ht="14.25" customHeight="1" x14ac:dyDescent="0.25">
      <c r="A12" s="4">
        <v>135</v>
      </c>
      <c r="B12" s="7">
        <v>45485</v>
      </c>
      <c r="C12" s="78" t="str">
        <f>+VLOOKUP(A12,CLIENTES!$A$4:$B$487,2,FALSE)</f>
        <v xml:space="preserve">JACKSON JAIMES </v>
      </c>
      <c r="D12" s="9">
        <v>150</v>
      </c>
      <c r="E12" s="9">
        <v>150</v>
      </c>
      <c r="F12" s="10">
        <v>0.2</v>
      </c>
      <c r="G12" s="7">
        <v>45516</v>
      </c>
      <c r="H12" s="4" t="s">
        <v>29</v>
      </c>
      <c r="I12" s="11">
        <f t="shared" si="3"/>
        <v>30</v>
      </c>
      <c r="J12" s="11">
        <v>0</v>
      </c>
      <c r="K12" s="4"/>
      <c r="L12" s="4"/>
      <c r="M12" s="17"/>
      <c r="N12" s="19" t="s">
        <v>32</v>
      </c>
      <c r="O12" s="19" t="s">
        <v>32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49"/>
      <c r="AA12" s="62"/>
      <c r="AB12" s="62"/>
      <c r="AC12" s="62"/>
      <c r="AD12" s="75"/>
      <c r="AE12" s="60"/>
    </row>
    <row r="13" spans="1:31" ht="15.75" customHeight="1" x14ac:dyDescent="0.25">
      <c r="A13" s="79">
        <v>142</v>
      </c>
      <c r="B13" s="7">
        <v>45517</v>
      </c>
      <c r="C13" s="80" t="str">
        <f>+VLOOKUP(A13,CLIENTES!$A$4:$B$487,2,FALSE)</f>
        <v>LISBETH MORALES</v>
      </c>
      <c r="D13" s="9">
        <v>500</v>
      </c>
      <c r="E13" s="9">
        <f t="shared" ref="E13:E20" si="4">D13-J13</f>
        <v>400</v>
      </c>
      <c r="F13" s="10">
        <v>0.15</v>
      </c>
      <c r="G13" s="7">
        <v>45517</v>
      </c>
      <c r="H13" s="4" t="s">
        <v>29</v>
      </c>
      <c r="I13" s="11">
        <f t="shared" si="3"/>
        <v>60</v>
      </c>
      <c r="J13" s="11">
        <v>100</v>
      </c>
      <c r="K13" s="4"/>
      <c r="L13" s="4"/>
      <c r="M13" s="17"/>
      <c r="N13" s="19"/>
      <c r="O13" s="13"/>
      <c r="P13" s="13"/>
      <c r="Q13" s="13"/>
      <c r="R13" s="13"/>
      <c r="S13" s="13"/>
      <c r="T13" s="13">
        <v>25</v>
      </c>
      <c r="U13" s="13">
        <v>25</v>
      </c>
      <c r="V13" s="13" t="s">
        <v>33</v>
      </c>
      <c r="W13" s="13" t="s">
        <v>34</v>
      </c>
      <c r="X13" s="13">
        <v>90</v>
      </c>
      <c r="Y13" s="13">
        <v>60</v>
      </c>
      <c r="Z13" s="49"/>
      <c r="AA13" s="49"/>
      <c r="AB13" s="62"/>
      <c r="AC13" s="62"/>
      <c r="AD13" s="75"/>
      <c r="AE13" s="63"/>
    </row>
    <row r="14" spans="1:31" ht="15.75" customHeight="1" x14ac:dyDescent="0.25">
      <c r="A14" s="4">
        <v>107</v>
      </c>
      <c r="B14" s="7">
        <v>45548</v>
      </c>
      <c r="C14" s="43" t="str">
        <f>+VLOOKUP(A14,CLIENTES!$A$4:$B$487,2,FALSE)</f>
        <v>MAYKEL DAVILA</v>
      </c>
      <c r="D14" s="9">
        <v>200</v>
      </c>
      <c r="E14" s="9">
        <f t="shared" si="4"/>
        <v>200</v>
      </c>
      <c r="F14" s="10">
        <v>0.2</v>
      </c>
      <c r="G14" s="7">
        <v>45548</v>
      </c>
      <c r="H14" s="4" t="s">
        <v>29</v>
      </c>
      <c r="I14" s="11">
        <f t="shared" si="3"/>
        <v>40</v>
      </c>
      <c r="J14" s="11">
        <v>0</v>
      </c>
      <c r="K14" s="4"/>
      <c r="L14" s="4" t="s">
        <v>35</v>
      </c>
      <c r="M14" s="17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49"/>
      <c r="AA14" s="62"/>
      <c r="AB14" s="62"/>
      <c r="AC14" s="62"/>
      <c r="AD14" s="75"/>
      <c r="AE14" s="63"/>
    </row>
    <row r="15" spans="1:31" ht="15.75" customHeight="1" x14ac:dyDescent="0.25">
      <c r="A15" s="4">
        <v>147</v>
      </c>
      <c r="B15" s="7">
        <v>45582</v>
      </c>
      <c r="C15" s="43" t="str">
        <f>+VLOOKUP(A15,CLIENTES!$A$4:$B$487,2,FALSE)</f>
        <v>RICARDO</v>
      </c>
      <c r="D15" s="9">
        <v>50</v>
      </c>
      <c r="E15" s="9">
        <f t="shared" si="4"/>
        <v>18</v>
      </c>
      <c r="F15" s="10">
        <v>0.15</v>
      </c>
      <c r="G15" s="7">
        <v>45582</v>
      </c>
      <c r="H15" s="4" t="s">
        <v>29</v>
      </c>
      <c r="I15" s="11">
        <f t="shared" si="3"/>
        <v>2.6999999999999997</v>
      </c>
      <c r="J15" s="11">
        <v>32</v>
      </c>
      <c r="K15" s="4"/>
      <c r="L15" s="4"/>
      <c r="M15" s="17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49"/>
      <c r="AA15" s="62"/>
      <c r="AB15" s="62"/>
      <c r="AC15" s="62"/>
      <c r="AD15" s="75"/>
      <c r="AE15" s="63"/>
    </row>
    <row r="16" spans="1:31" ht="15.75" customHeight="1" x14ac:dyDescent="0.25">
      <c r="A16" s="4">
        <v>104</v>
      </c>
      <c r="B16" s="7">
        <v>45675</v>
      </c>
      <c r="C16" s="8" t="str">
        <f>+VLOOKUP(A16,CLIENTES!$A$4:$B$487,2,FALSE)</f>
        <v>LUIS WENRIT</v>
      </c>
      <c r="D16" s="9">
        <v>260</v>
      </c>
      <c r="E16" s="9">
        <f t="shared" si="4"/>
        <v>0</v>
      </c>
      <c r="F16" s="10">
        <v>0.15</v>
      </c>
      <c r="G16" s="7">
        <v>45675</v>
      </c>
      <c r="H16" s="4"/>
      <c r="I16" s="11">
        <f t="shared" si="3"/>
        <v>0</v>
      </c>
      <c r="J16" s="11">
        <v>260</v>
      </c>
      <c r="K16" s="4"/>
      <c r="L16" s="4" t="s">
        <v>37</v>
      </c>
      <c r="M16" s="17"/>
      <c r="N16" s="21" t="s">
        <v>36</v>
      </c>
      <c r="O16" s="21" t="s">
        <v>36</v>
      </c>
      <c r="P16" s="13"/>
      <c r="Q16" s="13"/>
      <c r="R16" s="13"/>
      <c r="S16" s="14"/>
      <c r="T16" s="14"/>
      <c r="U16" s="14"/>
      <c r="V16" s="14"/>
      <c r="W16" s="14"/>
      <c r="X16" s="14"/>
      <c r="Y16" s="15"/>
      <c r="Z16" s="47"/>
      <c r="AA16" s="53"/>
      <c r="AB16" s="53"/>
      <c r="AC16" s="53"/>
      <c r="AD16" s="73"/>
      <c r="AE16" s="53"/>
    </row>
    <row r="17" spans="1:31" ht="15" customHeight="1" x14ac:dyDescent="0.25">
      <c r="A17" s="4">
        <v>154</v>
      </c>
      <c r="B17" s="7">
        <v>45672</v>
      </c>
      <c r="C17" s="22" t="str">
        <f>+VLOOKUP(A17,CLIENTES!$A$4:$B$487,2,FALSE)</f>
        <v>WENRTIR CORRO</v>
      </c>
      <c r="D17" s="9">
        <v>350</v>
      </c>
      <c r="E17" s="9">
        <f t="shared" si="4"/>
        <v>0</v>
      </c>
      <c r="F17" s="10">
        <v>0.1</v>
      </c>
      <c r="G17" s="7">
        <v>45672</v>
      </c>
      <c r="H17" s="4"/>
      <c r="I17" s="11">
        <f t="shared" si="3"/>
        <v>0</v>
      </c>
      <c r="J17" s="11">
        <v>350</v>
      </c>
      <c r="K17" s="4"/>
      <c r="L17" s="4"/>
      <c r="M17" s="17"/>
      <c r="N17" s="21" t="s">
        <v>36</v>
      </c>
      <c r="O17" s="21" t="s">
        <v>36</v>
      </c>
      <c r="P17" s="23"/>
      <c r="Q17" s="23"/>
      <c r="R17" s="23"/>
      <c r="S17" s="23"/>
      <c r="T17" s="23"/>
      <c r="U17" s="23"/>
      <c r="V17" s="23"/>
      <c r="W17" s="15"/>
      <c r="X17" s="15"/>
      <c r="Y17" s="15"/>
      <c r="Z17" s="47"/>
      <c r="AA17" s="53"/>
      <c r="AB17" s="53"/>
      <c r="AC17" s="53"/>
      <c r="AD17" s="73"/>
      <c r="AE17" s="53"/>
    </row>
    <row r="18" spans="1:31" ht="15.75" customHeight="1" x14ac:dyDescent="0.25">
      <c r="A18" s="4">
        <v>105</v>
      </c>
      <c r="B18" s="7">
        <v>45703</v>
      </c>
      <c r="C18" s="45" t="str">
        <f>+VLOOKUP(A18,CLIENTES!$A$4:$B$487,2,FALSE)</f>
        <v>EDUARDO JUEZ</v>
      </c>
      <c r="D18" s="9">
        <v>300</v>
      </c>
      <c r="E18" s="9">
        <f t="shared" si="4"/>
        <v>300</v>
      </c>
      <c r="F18" s="10">
        <v>0.15</v>
      </c>
      <c r="G18" s="7">
        <v>45724</v>
      </c>
      <c r="H18" s="4"/>
      <c r="I18" s="11">
        <f t="shared" si="3"/>
        <v>45</v>
      </c>
      <c r="J18" s="11">
        <v>0</v>
      </c>
      <c r="K18" s="4"/>
      <c r="L18" s="4"/>
      <c r="M18" s="17"/>
      <c r="N18" s="21" t="s">
        <v>36</v>
      </c>
      <c r="O18" s="21" t="s">
        <v>36</v>
      </c>
      <c r="P18" s="21" t="s">
        <v>36</v>
      </c>
      <c r="Q18" s="13"/>
      <c r="R18" s="13"/>
      <c r="S18" s="13"/>
      <c r="T18" s="13"/>
      <c r="U18" s="13"/>
      <c r="V18" s="13"/>
      <c r="W18" s="13"/>
      <c r="X18" s="13"/>
      <c r="Y18" s="13"/>
      <c r="Z18" s="49">
        <v>45</v>
      </c>
      <c r="AA18" s="49"/>
      <c r="AB18" s="62"/>
      <c r="AC18" s="62"/>
      <c r="AD18" s="75"/>
      <c r="AE18" s="60"/>
    </row>
    <row r="19" spans="1:31" ht="15" customHeight="1" x14ac:dyDescent="0.25">
      <c r="A19" s="4">
        <v>105</v>
      </c>
      <c r="B19" s="24" t="s">
        <v>38</v>
      </c>
      <c r="C19" s="43" t="str">
        <f>+VLOOKUP(A19,CLIENTES!$A$4:$B$487,2,FALSE)</f>
        <v>EDUARDO JUEZ</v>
      </c>
      <c r="D19" s="9">
        <v>350</v>
      </c>
      <c r="E19" s="9">
        <f t="shared" si="4"/>
        <v>350</v>
      </c>
      <c r="F19" s="10">
        <v>0.15</v>
      </c>
      <c r="G19" s="7">
        <v>45713</v>
      </c>
      <c r="H19" s="4"/>
      <c r="I19" s="11">
        <f t="shared" si="3"/>
        <v>52.5</v>
      </c>
      <c r="J19" s="11">
        <v>0</v>
      </c>
      <c r="K19" s="4"/>
      <c r="L19" s="4"/>
      <c r="M19" s="17"/>
      <c r="N19" s="21" t="s">
        <v>36</v>
      </c>
      <c r="O19" s="21" t="s">
        <v>36</v>
      </c>
      <c r="P19" s="21" t="s">
        <v>36</v>
      </c>
      <c r="Q19" s="13"/>
      <c r="R19" s="13"/>
      <c r="S19" s="13"/>
      <c r="T19" s="13"/>
      <c r="U19" s="13"/>
      <c r="V19" s="13"/>
      <c r="W19" s="13"/>
      <c r="X19" s="13"/>
      <c r="Y19" s="13"/>
      <c r="Z19" s="48">
        <v>5</v>
      </c>
      <c r="AA19" s="62"/>
      <c r="AB19" s="62"/>
      <c r="AC19" s="71"/>
      <c r="AD19" s="75"/>
      <c r="AE19" s="53"/>
    </row>
    <row r="20" spans="1:31" ht="15" customHeight="1" x14ac:dyDescent="0.25">
      <c r="A20" s="4">
        <v>104</v>
      </c>
      <c r="B20" s="7">
        <v>45752</v>
      </c>
      <c r="C20" s="43" t="str">
        <f>+VLOOKUP(A20,CLIENTES!$A$4:$B$487,2,FALSE)</f>
        <v>LUIS WENRIT</v>
      </c>
      <c r="D20" s="9">
        <v>220</v>
      </c>
      <c r="E20" s="9">
        <f t="shared" si="4"/>
        <v>220</v>
      </c>
      <c r="F20" s="10">
        <v>0.15</v>
      </c>
      <c r="G20" s="24" t="s">
        <v>39</v>
      </c>
      <c r="H20" s="4" t="s">
        <v>40</v>
      </c>
      <c r="I20" s="11">
        <f t="shared" si="3"/>
        <v>33</v>
      </c>
      <c r="J20" s="11">
        <v>0</v>
      </c>
      <c r="K20" s="4"/>
      <c r="L20" s="70" t="s">
        <v>41</v>
      </c>
      <c r="M20" s="17"/>
      <c r="N20" s="21" t="s">
        <v>36</v>
      </c>
      <c r="O20" s="21" t="s">
        <v>36</v>
      </c>
      <c r="P20" s="21" t="s">
        <v>36</v>
      </c>
      <c r="Q20" s="21" t="s">
        <v>36</v>
      </c>
      <c r="R20" s="21" t="s">
        <v>36</v>
      </c>
      <c r="S20" s="13"/>
      <c r="T20" s="13"/>
      <c r="U20" s="13"/>
      <c r="V20" s="13"/>
      <c r="W20" s="13"/>
      <c r="X20" s="13"/>
      <c r="Y20" s="13"/>
      <c r="Z20" s="51"/>
      <c r="AA20" s="49"/>
      <c r="AB20" s="62"/>
      <c r="AC20" s="62"/>
      <c r="AD20" s="75"/>
      <c r="AE20" s="63"/>
    </row>
    <row r="21" spans="1:31" ht="15.75" customHeight="1" x14ac:dyDescent="0.25">
      <c r="A21" s="4">
        <v>131</v>
      </c>
      <c r="B21" s="7">
        <v>45764</v>
      </c>
      <c r="C21" s="58" t="str">
        <f>+VLOOKUP(A21,CLIENTES!$A$4:$B$487,2,FALSE)</f>
        <v>VICTOR DELGADO</v>
      </c>
      <c r="D21" s="9">
        <v>90</v>
      </c>
      <c r="E21" s="9">
        <v>90</v>
      </c>
      <c r="F21" s="10">
        <v>0.2</v>
      </c>
      <c r="G21" s="7">
        <v>45764</v>
      </c>
      <c r="H21" s="4"/>
      <c r="I21" s="11">
        <f t="shared" si="3"/>
        <v>18</v>
      </c>
      <c r="J21" s="11">
        <v>0</v>
      </c>
      <c r="K21" s="4"/>
      <c r="L21" s="4" t="s">
        <v>42</v>
      </c>
      <c r="M21" s="17"/>
      <c r="N21" s="21" t="s">
        <v>36</v>
      </c>
      <c r="O21" s="21" t="s">
        <v>36</v>
      </c>
      <c r="P21" s="21" t="s">
        <v>36</v>
      </c>
      <c r="Q21" s="21" t="s">
        <v>36</v>
      </c>
      <c r="R21" s="21" t="s">
        <v>36</v>
      </c>
      <c r="S21" s="13"/>
      <c r="T21" s="13"/>
      <c r="U21" s="13"/>
      <c r="V21" s="13"/>
      <c r="W21" s="13"/>
      <c r="X21" s="13"/>
      <c r="Y21" s="13"/>
      <c r="Z21" s="48"/>
      <c r="AA21" s="61"/>
      <c r="AB21" s="61"/>
      <c r="AC21" s="61"/>
      <c r="AD21" s="74"/>
      <c r="AE21" s="60"/>
    </row>
    <row r="22" spans="1:31" ht="15.75" customHeight="1" x14ac:dyDescent="0.25">
      <c r="A22" s="4">
        <v>104</v>
      </c>
      <c r="B22" s="56">
        <v>45777</v>
      </c>
      <c r="C22" s="59" t="str">
        <f>+VLOOKUP(A22,CLIENTES!$A$4:$B$487,2,FALSE)</f>
        <v>LUIS WENRIT</v>
      </c>
      <c r="D22" s="57">
        <v>500</v>
      </c>
      <c r="E22" s="9">
        <f t="shared" ref="E22:E39" si="5">D22-J22</f>
        <v>200</v>
      </c>
      <c r="F22" s="10">
        <v>0.1</v>
      </c>
      <c r="G22" s="7">
        <v>45768</v>
      </c>
      <c r="H22" s="4"/>
      <c r="I22" s="11">
        <f t="shared" si="3"/>
        <v>20</v>
      </c>
      <c r="J22" s="11">
        <v>300</v>
      </c>
      <c r="K22" s="4"/>
      <c r="L22" s="4"/>
      <c r="M22" s="17"/>
      <c r="N22" s="21" t="s">
        <v>36</v>
      </c>
      <c r="O22" s="21" t="s">
        <v>36</v>
      </c>
      <c r="P22" s="21" t="s">
        <v>36</v>
      </c>
      <c r="Q22" s="21" t="s">
        <v>36</v>
      </c>
      <c r="R22" s="21" t="s">
        <v>36</v>
      </c>
      <c r="S22" s="13"/>
      <c r="T22" s="13"/>
      <c r="U22" s="13"/>
      <c r="V22" s="13"/>
      <c r="W22" s="14"/>
      <c r="X22" s="14"/>
      <c r="Y22" s="14"/>
      <c r="Z22" s="48"/>
      <c r="AA22" s="61"/>
      <c r="AB22" s="61"/>
      <c r="AC22" s="60"/>
      <c r="AD22" s="74"/>
      <c r="AE22" s="53"/>
    </row>
    <row r="23" spans="1:31" ht="15.75" customHeight="1" x14ac:dyDescent="0.25">
      <c r="A23" s="4">
        <v>104</v>
      </c>
      <c r="B23" s="56">
        <v>45772</v>
      </c>
      <c r="C23" s="63" t="str">
        <f>+VLOOKUP(A23,CLIENTES!$A$4:$B$487,2,FALSE)</f>
        <v>LUIS WENRIT</v>
      </c>
      <c r="D23" s="57">
        <v>100</v>
      </c>
      <c r="E23" s="9">
        <f t="shared" si="5"/>
        <v>50</v>
      </c>
      <c r="F23" s="10">
        <v>0.15</v>
      </c>
      <c r="G23" s="24" t="s">
        <v>43</v>
      </c>
      <c r="H23" s="4"/>
      <c r="I23" s="11">
        <f t="shared" si="3"/>
        <v>7.5</v>
      </c>
      <c r="J23" s="11">
        <v>50</v>
      </c>
      <c r="K23" s="4"/>
      <c r="L23" s="4" t="s">
        <v>44</v>
      </c>
      <c r="M23" s="17"/>
      <c r="N23" s="21" t="s">
        <v>36</v>
      </c>
      <c r="O23" s="21" t="s">
        <v>36</v>
      </c>
      <c r="P23" s="21" t="s">
        <v>36</v>
      </c>
      <c r="Q23" s="21" t="s">
        <v>36</v>
      </c>
      <c r="R23" s="21" t="s">
        <v>36</v>
      </c>
      <c r="S23" s="13"/>
      <c r="T23" s="13"/>
      <c r="U23" s="13"/>
      <c r="V23" s="13"/>
      <c r="W23" s="13"/>
      <c r="X23" s="13"/>
      <c r="Y23" s="13"/>
      <c r="Z23" s="13"/>
      <c r="AA23" s="62"/>
      <c r="AB23" s="62"/>
      <c r="AC23" s="62"/>
      <c r="AD23" s="75"/>
      <c r="AE23" s="53"/>
    </row>
    <row r="24" spans="1:31" ht="17.25" customHeight="1" x14ac:dyDescent="0.25">
      <c r="A24" s="4">
        <v>131</v>
      </c>
      <c r="B24" s="56">
        <v>45773</v>
      </c>
      <c r="C24" s="60" t="str">
        <f>+VLOOKUP(A24,CLIENTES!$A$4:$B$487,2,FALSE)</f>
        <v>VICTOR DELGADO</v>
      </c>
      <c r="D24" s="57">
        <v>80</v>
      </c>
      <c r="E24" s="9">
        <f t="shared" si="5"/>
        <v>80</v>
      </c>
      <c r="F24" s="10">
        <v>0.2</v>
      </c>
      <c r="G24" s="7">
        <v>45773</v>
      </c>
      <c r="H24" s="4"/>
      <c r="I24" s="11">
        <f t="shared" si="3"/>
        <v>16</v>
      </c>
      <c r="J24" s="11">
        <v>0</v>
      </c>
      <c r="K24" s="4"/>
      <c r="L24" s="4"/>
      <c r="M24" s="17"/>
      <c r="N24" s="21" t="s">
        <v>36</v>
      </c>
      <c r="O24" s="21" t="s">
        <v>36</v>
      </c>
      <c r="P24" s="21" t="s">
        <v>36</v>
      </c>
      <c r="Q24" s="21" t="s">
        <v>36</v>
      </c>
      <c r="R24" s="21" t="s">
        <v>36</v>
      </c>
      <c r="S24" s="25" t="s">
        <v>36</v>
      </c>
      <c r="T24" s="13"/>
      <c r="U24" s="13"/>
      <c r="V24" s="13"/>
      <c r="W24" s="13" t="s">
        <v>45</v>
      </c>
      <c r="X24" s="13"/>
      <c r="Y24" s="44"/>
      <c r="Z24" s="48"/>
      <c r="AA24" s="61"/>
      <c r="AB24" s="61"/>
      <c r="AC24" s="61"/>
      <c r="AD24" s="74"/>
      <c r="AE24" s="53"/>
    </row>
    <row r="25" spans="1:31" ht="15" customHeight="1" x14ac:dyDescent="0.25">
      <c r="A25" s="4">
        <v>139</v>
      </c>
      <c r="B25" s="56">
        <v>45774</v>
      </c>
      <c r="C25" s="63" t="str">
        <f>+VLOOKUP(A25,CLIENTES!$A$4:$B$487,2,FALSE)</f>
        <v>CESAR RUIZ</v>
      </c>
      <c r="D25" s="57">
        <v>100</v>
      </c>
      <c r="E25" s="9">
        <f t="shared" si="5"/>
        <v>100</v>
      </c>
      <c r="F25" s="10">
        <v>0.15</v>
      </c>
      <c r="G25" s="7">
        <v>45774</v>
      </c>
      <c r="H25" s="4"/>
      <c r="I25" s="11">
        <f t="shared" si="3"/>
        <v>15</v>
      </c>
      <c r="J25" s="11">
        <v>0</v>
      </c>
      <c r="K25" s="4"/>
      <c r="L25" s="4"/>
      <c r="M25" s="17"/>
      <c r="N25" s="21" t="s">
        <v>36</v>
      </c>
      <c r="O25" s="21" t="s">
        <v>36</v>
      </c>
      <c r="P25" s="21" t="s">
        <v>36</v>
      </c>
      <c r="Q25" s="21" t="s">
        <v>36</v>
      </c>
      <c r="R25" s="21" t="s">
        <v>36</v>
      </c>
      <c r="S25" s="12" t="s">
        <v>36</v>
      </c>
      <c r="T25" s="13"/>
      <c r="U25" s="20"/>
      <c r="V25" s="13"/>
      <c r="W25" s="13"/>
      <c r="X25" s="13"/>
      <c r="Y25" s="13"/>
      <c r="Z25" s="49"/>
      <c r="AA25" s="62"/>
      <c r="AB25" s="62"/>
      <c r="AC25" s="62"/>
      <c r="AD25" s="75" t="s">
        <v>46</v>
      </c>
      <c r="AE25" s="53"/>
    </row>
    <row r="26" spans="1:31" ht="15.75" customHeight="1" x14ac:dyDescent="0.25">
      <c r="A26" s="4">
        <v>107</v>
      </c>
      <c r="B26" s="56">
        <v>45782</v>
      </c>
      <c r="C26" s="59" t="str">
        <f>+VLOOKUP(A26,CLIENTES!$A$4:$B$487,2,FALSE)</f>
        <v>MAYKEL DAVILA</v>
      </c>
      <c r="D26" s="57">
        <v>150</v>
      </c>
      <c r="E26" s="9">
        <f t="shared" si="5"/>
        <v>150</v>
      </c>
      <c r="F26" s="10">
        <v>0.15</v>
      </c>
      <c r="G26" s="7">
        <v>45813</v>
      </c>
      <c r="H26" s="4"/>
      <c r="I26" s="11">
        <f t="shared" si="3"/>
        <v>22.5</v>
      </c>
      <c r="J26" s="11">
        <v>0</v>
      </c>
      <c r="K26" s="4"/>
      <c r="L26" s="4" t="s">
        <v>47</v>
      </c>
      <c r="M26" s="17"/>
      <c r="N26" s="21" t="s">
        <v>36</v>
      </c>
      <c r="O26" s="21" t="s">
        <v>36</v>
      </c>
      <c r="P26" s="21" t="s">
        <v>36</v>
      </c>
      <c r="Q26" s="21" t="s">
        <v>36</v>
      </c>
      <c r="R26" s="21" t="s">
        <v>36</v>
      </c>
      <c r="S26" s="21" t="s">
        <v>36</v>
      </c>
      <c r="T26" s="13"/>
      <c r="U26" s="13"/>
      <c r="V26" s="13"/>
      <c r="W26" s="14"/>
      <c r="X26" s="14"/>
      <c r="Y26" s="14"/>
      <c r="Z26" s="52"/>
      <c r="AA26" s="61"/>
      <c r="AB26" s="61"/>
      <c r="AC26" s="61"/>
      <c r="AD26" s="74"/>
      <c r="AE26" s="60"/>
    </row>
    <row r="27" spans="1:31" ht="15.75" customHeight="1" x14ac:dyDescent="0.25">
      <c r="A27" s="4">
        <v>104</v>
      </c>
      <c r="B27" s="7">
        <v>45792</v>
      </c>
      <c r="C27" s="72" t="str">
        <f>+VLOOKUP(A27,CLIENTES!$A$4:$B$487,2,FALSE)</f>
        <v>LUIS WENRIT</v>
      </c>
      <c r="D27" s="9">
        <v>160</v>
      </c>
      <c r="E27" s="9">
        <f t="shared" si="5"/>
        <v>160</v>
      </c>
      <c r="F27" s="10">
        <v>0.15</v>
      </c>
      <c r="G27" s="7">
        <v>45817</v>
      </c>
      <c r="H27" s="4"/>
      <c r="I27" s="11">
        <f t="shared" si="3"/>
        <v>24</v>
      </c>
      <c r="J27" s="11">
        <v>0</v>
      </c>
      <c r="K27" s="4"/>
      <c r="L27" s="4" t="s">
        <v>48</v>
      </c>
      <c r="M27" s="17"/>
      <c r="N27" s="21" t="s">
        <v>36</v>
      </c>
      <c r="O27" s="21" t="s">
        <v>36</v>
      </c>
      <c r="P27" s="21" t="s">
        <v>36</v>
      </c>
      <c r="Q27" s="21" t="s">
        <v>36</v>
      </c>
      <c r="R27" s="21" t="s">
        <v>36</v>
      </c>
      <c r="S27" s="21" t="s">
        <v>36</v>
      </c>
      <c r="T27" s="13"/>
      <c r="U27" s="13"/>
      <c r="V27" s="13"/>
      <c r="W27" s="13"/>
      <c r="X27" s="13"/>
      <c r="Y27" s="44"/>
      <c r="Z27" s="66"/>
      <c r="AA27" s="62"/>
      <c r="AB27" s="62"/>
      <c r="AC27" s="62"/>
      <c r="AD27" s="75"/>
      <c r="AE27" s="63"/>
    </row>
    <row r="28" spans="1:31" ht="15" customHeight="1" x14ac:dyDescent="0.25">
      <c r="A28" s="4">
        <v>104</v>
      </c>
      <c r="B28" s="7">
        <v>45807</v>
      </c>
      <c r="C28" s="43" t="str">
        <f>+VLOOKUP(A28,CLIENTES!$A$4:$B$487,2,FALSE)</f>
        <v>LUIS WENRIT</v>
      </c>
      <c r="D28" s="9">
        <v>500</v>
      </c>
      <c r="E28" s="9">
        <f t="shared" si="5"/>
        <v>400</v>
      </c>
      <c r="F28" s="10">
        <v>0.15</v>
      </c>
      <c r="G28" s="7">
        <v>45804</v>
      </c>
      <c r="H28" s="4"/>
      <c r="I28" s="11">
        <f t="shared" si="3"/>
        <v>60</v>
      </c>
      <c r="J28" s="11">
        <v>100</v>
      </c>
      <c r="K28" s="4"/>
      <c r="L28" s="43" t="s">
        <v>49</v>
      </c>
      <c r="M28" s="17"/>
      <c r="N28" s="21" t="s">
        <v>36</v>
      </c>
      <c r="O28" s="21" t="s">
        <v>36</v>
      </c>
      <c r="P28" s="21" t="s">
        <v>36</v>
      </c>
      <c r="Q28" s="21" t="s">
        <v>36</v>
      </c>
      <c r="R28" s="21" t="s">
        <v>36</v>
      </c>
      <c r="S28" s="21" t="s">
        <v>36</v>
      </c>
      <c r="T28" s="13"/>
      <c r="U28" s="13"/>
      <c r="V28" s="13"/>
      <c r="W28" s="18"/>
      <c r="X28" s="13">
        <v>60</v>
      </c>
      <c r="Y28" s="18">
        <v>60</v>
      </c>
      <c r="Z28" s="64"/>
      <c r="AA28" s="62"/>
      <c r="AB28" s="62"/>
      <c r="AC28" s="62"/>
      <c r="AD28" s="75"/>
      <c r="AE28" s="53"/>
    </row>
    <row r="29" spans="1:31" ht="15" customHeight="1" x14ac:dyDescent="0.25">
      <c r="A29" s="4">
        <v>168</v>
      </c>
      <c r="B29" s="7">
        <v>45833</v>
      </c>
      <c r="C29" s="45" t="str">
        <f>+VLOOKUP(A29,CLIENTES!$A$4:$B$487,2,FALSE)</f>
        <v>KAREN VERGARA</v>
      </c>
      <c r="D29" s="9">
        <v>200</v>
      </c>
      <c r="E29" s="9">
        <f t="shared" si="5"/>
        <v>200</v>
      </c>
      <c r="F29" s="10">
        <v>0.15</v>
      </c>
      <c r="G29" s="7">
        <v>45843</v>
      </c>
      <c r="H29" s="4"/>
      <c r="I29" s="11">
        <f t="shared" si="3"/>
        <v>30</v>
      </c>
      <c r="J29" s="11">
        <v>0</v>
      </c>
      <c r="K29" s="4"/>
      <c r="L29" s="4"/>
      <c r="M29" s="17"/>
      <c r="N29" s="21" t="s">
        <v>36</v>
      </c>
      <c r="O29" s="21" t="s">
        <v>36</v>
      </c>
      <c r="P29" s="21" t="s">
        <v>36</v>
      </c>
      <c r="Q29" s="21" t="s">
        <v>36</v>
      </c>
      <c r="R29" s="21" t="s">
        <v>36</v>
      </c>
      <c r="S29" s="21" t="s">
        <v>36</v>
      </c>
      <c r="T29" s="21" t="s">
        <v>36</v>
      </c>
      <c r="U29" s="13"/>
      <c r="V29" s="13"/>
      <c r="W29" s="13"/>
      <c r="X29" s="13"/>
      <c r="Y29" s="13"/>
      <c r="Z29" s="49"/>
      <c r="AA29" s="62"/>
      <c r="AB29" s="62"/>
      <c r="AC29" s="62"/>
      <c r="AD29" s="75"/>
      <c r="AE29" s="60"/>
    </row>
    <row r="30" spans="1:31" ht="15.75" customHeight="1" x14ac:dyDescent="0.25">
      <c r="A30" s="4">
        <v>150</v>
      </c>
      <c r="B30" s="7">
        <v>45809</v>
      </c>
      <c r="C30" s="43" t="str">
        <f>+VLOOKUP(A30,CLIENTES!$A$4:$B$487,2,FALSE)</f>
        <v>MARIA QUINTANA GUAYABA</v>
      </c>
      <c r="D30" s="9">
        <v>100</v>
      </c>
      <c r="E30" s="9">
        <f t="shared" si="5"/>
        <v>26</v>
      </c>
      <c r="F30" s="10">
        <v>0.1</v>
      </c>
      <c r="G30" s="7">
        <v>45809</v>
      </c>
      <c r="H30" s="4"/>
      <c r="I30" s="11">
        <f t="shared" si="3"/>
        <v>2.6</v>
      </c>
      <c r="J30" s="11">
        <v>74</v>
      </c>
      <c r="K30" s="4"/>
      <c r="L30" s="4"/>
      <c r="M30" s="17"/>
      <c r="N30" s="21" t="s">
        <v>36</v>
      </c>
      <c r="O30" s="21" t="s">
        <v>36</v>
      </c>
      <c r="P30" s="21" t="s">
        <v>36</v>
      </c>
      <c r="Q30" s="21" t="s">
        <v>36</v>
      </c>
      <c r="R30" s="21" t="s">
        <v>36</v>
      </c>
      <c r="S30" s="21" t="s">
        <v>36</v>
      </c>
      <c r="T30" s="21" t="s">
        <v>36</v>
      </c>
      <c r="U30" s="12"/>
      <c r="V30" s="13"/>
      <c r="W30" s="13"/>
      <c r="X30" s="13"/>
      <c r="Y30" s="13"/>
      <c r="Z30" s="49"/>
      <c r="AA30" s="62"/>
      <c r="AB30" s="62"/>
      <c r="AC30" s="62"/>
      <c r="AD30" s="75"/>
      <c r="AE30" s="60"/>
    </row>
    <row r="31" spans="1:31" ht="15" customHeight="1" x14ac:dyDescent="0.25">
      <c r="A31" s="4">
        <v>161</v>
      </c>
      <c r="B31" s="7">
        <v>45861</v>
      </c>
      <c r="C31" s="16" t="str">
        <f>+VLOOKUP(A31,CLIENTES!$A$4:$B$487,2,FALSE)</f>
        <v>MAYRA DAR</v>
      </c>
      <c r="D31" s="9">
        <v>160</v>
      </c>
      <c r="E31" s="9">
        <f t="shared" si="5"/>
        <v>160</v>
      </c>
      <c r="F31" s="10">
        <v>0.15</v>
      </c>
      <c r="G31" s="7">
        <v>45892</v>
      </c>
      <c r="H31" s="4"/>
      <c r="I31" s="11">
        <f t="shared" si="3"/>
        <v>24</v>
      </c>
      <c r="J31" s="11">
        <v>0</v>
      </c>
      <c r="K31" s="4"/>
      <c r="L31" s="4" t="s">
        <v>50</v>
      </c>
      <c r="M31" s="17"/>
      <c r="N31" s="21" t="s">
        <v>36</v>
      </c>
      <c r="O31" s="21" t="s">
        <v>36</v>
      </c>
      <c r="P31" s="21" t="s">
        <v>36</v>
      </c>
      <c r="Q31" s="21" t="s">
        <v>36</v>
      </c>
      <c r="R31" s="21" t="s">
        <v>36</v>
      </c>
      <c r="S31" s="21" t="s">
        <v>36</v>
      </c>
      <c r="T31" s="21" t="s">
        <v>36</v>
      </c>
      <c r="U31" s="21" t="s">
        <v>36</v>
      </c>
      <c r="V31" s="13"/>
      <c r="W31" s="13"/>
      <c r="X31" s="13"/>
      <c r="Y31" s="13"/>
      <c r="Z31" s="49"/>
      <c r="AA31" s="62"/>
      <c r="AB31" s="62"/>
      <c r="AC31" s="62"/>
      <c r="AD31" s="75"/>
      <c r="AE31" s="53"/>
    </row>
    <row r="32" spans="1:31" ht="15.75" customHeight="1" x14ac:dyDescent="0.25">
      <c r="A32" s="4">
        <v>131</v>
      </c>
      <c r="B32" s="7">
        <v>45878</v>
      </c>
      <c r="C32" s="45" t="str">
        <f>+VLOOKUP(A32,CLIENTES!$A$4:$B$487,2,FALSE)</f>
        <v>VICTOR DELGADO</v>
      </c>
      <c r="D32" s="9">
        <v>75</v>
      </c>
      <c r="E32" s="9">
        <f t="shared" si="5"/>
        <v>40</v>
      </c>
      <c r="F32" s="10">
        <v>0.2</v>
      </c>
      <c r="G32" s="7">
        <v>45939</v>
      </c>
      <c r="H32" s="4"/>
      <c r="I32" s="11">
        <f t="shared" si="3"/>
        <v>8</v>
      </c>
      <c r="J32" s="11">
        <v>35</v>
      </c>
      <c r="K32" s="4"/>
      <c r="L32" s="46" t="s">
        <v>221</v>
      </c>
      <c r="M32" s="17"/>
      <c r="N32" s="21" t="s">
        <v>36</v>
      </c>
      <c r="O32" s="21" t="s">
        <v>36</v>
      </c>
      <c r="P32" s="21" t="s">
        <v>36</v>
      </c>
      <c r="Q32" s="21" t="s">
        <v>36</v>
      </c>
      <c r="R32" s="21" t="s">
        <v>36</v>
      </c>
      <c r="S32" s="21" t="s">
        <v>36</v>
      </c>
      <c r="T32" s="21" t="s">
        <v>36</v>
      </c>
      <c r="U32" s="21" t="s">
        <v>36</v>
      </c>
      <c r="V32" s="21" t="s">
        <v>36</v>
      </c>
      <c r="W32" s="13"/>
      <c r="X32" s="13"/>
      <c r="Y32" s="13"/>
      <c r="Z32" s="48"/>
      <c r="AA32" s="48"/>
      <c r="AB32" s="61"/>
      <c r="AC32" s="61"/>
      <c r="AD32" s="74"/>
      <c r="AE32" s="60"/>
    </row>
    <row r="33" spans="1:31" ht="15.75" customHeight="1" x14ac:dyDescent="0.25">
      <c r="A33" s="4">
        <v>130</v>
      </c>
      <c r="B33" s="7">
        <v>45883</v>
      </c>
      <c r="C33" s="43" t="str">
        <f>+VLOOKUP(A33,CLIENTES!$A$4:$B$487,2,FALSE)</f>
        <v>MILANA MEDINA</v>
      </c>
      <c r="D33" s="9">
        <v>120</v>
      </c>
      <c r="E33" s="9">
        <f t="shared" si="5"/>
        <v>90</v>
      </c>
      <c r="F33" s="10">
        <v>0.15</v>
      </c>
      <c r="G33" s="7">
        <v>45914</v>
      </c>
      <c r="H33" s="4"/>
      <c r="I33" s="11">
        <f t="shared" si="3"/>
        <v>13.5</v>
      </c>
      <c r="J33" s="11">
        <v>30</v>
      </c>
      <c r="K33" s="4"/>
      <c r="L33" s="4" t="s">
        <v>50</v>
      </c>
      <c r="M33" s="17"/>
      <c r="N33" s="21" t="s">
        <v>36</v>
      </c>
      <c r="O33" s="21" t="s">
        <v>36</v>
      </c>
      <c r="P33" s="21" t="s">
        <v>36</v>
      </c>
      <c r="Q33" s="21" t="s">
        <v>36</v>
      </c>
      <c r="R33" s="21" t="s">
        <v>36</v>
      </c>
      <c r="S33" s="21" t="s">
        <v>36</v>
      </c>
      <c r="T33" s="21" t="s">
        <v>36</v>
      </c>
      <c r="U33" s="21" t="s">
        <v>36</v>
      </c>
      <c r="V33" s="21" t="s">
        <v>36</v>
      </c>
      <c r="W33" s="13"/>
      <c r="X33" s="13"/>
      <c r="Y33" s="13"/>
      <c r="Z33" s="49"/>
      <c r="AA33" s="62"/>
      <c r="AB33" s="62"/>
      <c r="AC33" s="62"/>
      <c r="AD33" s="75"/>
      <c r="AE33" s="63"/>
    </row>
    <row r="34" spans="1:31" ht="15.75" customHeight="1" x14ac:dyDescent="0.25">
      <c r="A34" s="4">
        <v>173</v>
      </c>
      <c r="B34" s="7">
        <v>45898</v>
      </c>
      <c r="C34" s="45" t="str">
        <f>+VLOOKUP(A34,CLIENTES!$A$4:$B$487,2,FALSE)</f>
        <v>Danco</v>
      </c>
      <c r="D34" s="9">
        <v>500</v>
      </c>
      <c r="E34" s="9">
        <f t="shared" si="5"/>
        <v>100</v>
      </c>
      <c r="F34" s="10">
        <v>0.15</v>
      </c>
      <c r="G34" s="7">
        <v>45929</v>
      </c>
      <c r="H34" s="4"/>
      <c r="I34" s="11">
        <f t="shared" si="3"/>
        <v>15</v>
      </c>
      <c r="J34" s="11">
        <v>400</v>
      </c>
      <c r="K34" s="4"/>
      <c r="L34" s="4" t="s">
        <v>51</v>
      </c>
      <c r="M34" s="17"/>
      <c r="N34" s="21" t="s">
        <v>36</v>
      </c>
      <c r="O34" s="21" t="s">
        <v>36</v>
      </c>
      <c r="P34" s="21" t="s">
        <v>36</v>
      </c>
      <c r="Q34" s="21" t="s">
        <v>36</v>
      </c>
      <c r="R34" s="21" t="s">
        <v>36</v>
      </c>
      <c r="S34" s="21" t="s">
        <v>36</v>
      </c>
      <c r="T34" s="21" t="s">
        <v>36</v>
      </c>
      <c r="U34" s="21" t="s">
        <v>36</v>
      </c>
      <c r="V34" s="21" t="s">
        <v>36</v>
      </c>
      <c r="W34" s="13" t="s">
        <v>52</v>
      </c>
      <c r="X34" s="13"/>
      <c r="Y34" s="13"/>
      <c r="Z34" s="49"/>
      <c r="AA34" s="62"/>
      <c r="AB34" s="62"/>
      <c r="AC34" s="62"/>
      <c r="AD34" s="75" t="s">
        <v>241</v>
      </c>
      <c r="AE34" s="53"/>
    </row>
    <row r="35" spans="1:31" ht="15.75" customHeight="1" x14ac:dyDescent="0.25">
      <c r="A35" s="4">
        <v>174</v>
      </c>
      <c r="B35" s="7">
        <v>45898</v>
      </c>
      <c r="C35" s="43" t="str">
        <f>+VLOOKUP(A35,CLIENTES!$A$4:$B$487,2,FALSE)</f>
        <v>Miguel Gonzales</v>
      </c>
      <c r="D35" s="9">
        <v>200</v>
      </c>
      <c r="E35" s="9">
        <f t="shared" si="5"/>
        <v>34</v>
      </c>
      <c r="F35" s="10">
        <v>0.15</v>
      </c>
      <c r="G35" s="7">
        <v>45929</v>
      </c>
      <c r="H35" s="4"/>
      <c r="I35" s="11">
        <f t="shared" si="3"/>
        <v>5.0999999999999996</v>
      </c>
      <c r="J35" s="11">
        <v>166</v>
      </c>
      <c r="K35" s="4"/>
      <c r="L35" s="4" t="s">
        <v>53</v>
      </c>
      <c r="M35" s="17"/>
      <c r="N35" s="21" t="s">
        <v>36</v>
      </c>
      <c r="O35" s="21" t="s">
        <v>36</v>
      </c>
      <c r="P35" s="21" t="s">
        <v>36</v>
      </c>
      <c r="Q35" s="21" t="s">
        <v>36</v>
      </c>
      <c r="R35" s="21" t="s">
        <v>36</v>
      </c>
      <c r="S35" s="21" t="s">
        <v>36</v>
      </c>
      <c r="T35" s="21" t="s">
        <v>36</v>
      </c>
      <c r="U35" s="21" t="s">
        <v>36</v>
      </c>
      <c r="V35" s="21" t="s">
        <v>36</v>
      </c>
      <c r="W35" s="13">
        <v>20</v>
      </c>
      <c r="X35" s="13">
        <v>20</v>
      </c>
      <c r="Y35" s="13">
        <v>40</v>
      </c>
      <c r="Z35" s="47">
        <v>20</v>
      </c>
      <c r="AA35" s="67"/>
      <c r="AB35" s="62"/>
      <c r="AC35" s="62" t="s">
        <v>46</v>
      </c>
      <c r="AD35" s="73"/>
      <c r="AE35" s="53"/>
    </row>
    <row r="36" spans="1:31" ht="15.75" customHeight="1" x14ac:dyDescent="0.25">
      <c r="A36" s="4">
        <v>104</v>
      </c>
      <c r="B36" s="7">
        <v>45901</v>
      </c>
      <c r="C36" s="45" t="str">
        <f>+VLOOKUP(A36,CLIENTES!$A$4:$B$487,2,FALSE)</f>
        <v>LUIS WENRIT</v>
      </c>
      <c r="D36" s="9">
        <v>50</v>
      </c>
      <c r="E36" s="9">
        <f t="shared" si="5"/>
        <v>50</v>
      </c>
      <c r="F36" s="10">
        <v>0.15</v>
      </c>
      <c r="G36" s="7">
        <v>45931</v>
      </c>
      <c r="H36" s="4"/>
      <c r="I36" s="11">
        <f t="shared" si="3"/>
        <v>7.5</v>
      </c>
      <c r="J36" s="11">
        <v>0</v>
      </c>
      <c r="K36" s="4"/>
      <c r="L36" s="45" t="s">
        <v>54</v>
      </c>
      <c r="M36" s="17"/>
      <c r="N36" s="21" t="s">
        <v>36</v>
      </c>
      <c r="O36" s="21" t="s">
        <v>36</v>
      </c>
      <c r="P36" s="21" t="s">
        <v>36</v>
      </c>
      <c r="Q36" s="21" t="s">
        <v>36</v>
      </c>
      <c r="R36" s="21" t="s">
        <v>36</v>
      </c>
      <c r="S36" s="21" t="s">
        <v>36</v>
      </c>
      <c r="T36" s="21" t="s">
        <v>36</v>
      </c>
      <c r="U36" s="21" t="s">
        <v>36</v>
      </c>
      <c r="V36" s="21" t="s">
        <v>36</v>
      </c>
      <c r="W36" s="21" t="s">
        <v>36</v>
      </c>
      <c r="X36" s="13"/>
      <c r="Y36" s="13"/>
      <c r="Z36" s="49"/>
      <c r="AA36" s="62"/>
      <c r="AB36" s="62"/>
      <c r="AC36" s="62"/>
      <c r="AD36" s="75"/>
      <c r="AE36" s="60"/>
    </row>
    <row r="37" spans="1:31" ht="15.75" customHeight="1" x14ac:dyDescent="0.25">
      <c r="A37" s="4">
        <v>104</v>
      </c>
      <c r="B37" s="7">
        <v>45915</v>
      </c>
      <c r="C37" s="45" t="str">
        <f>+VLOOKUP(A37,CLIENTES!$A$4:$B$487,2,FALSE)</f>
        <v>LUIS WENRIT</v>
      </c>
      <c r="D37" s="9">
        <v>170</v>
      </c>
      <c r="E37" s="9">
        <f t="shared" si="5"/>
        <v>25.650000000000006</v>
      </c>
      <c r="F37" s="10">
        <v>0.15</v>
      </c>
      <c r="G37" s="7">
        <v>45931</v>
      </c>
      <c r="H37" s="4"/>
      <c r="I37" s="11">
        <f t="shared" si="3"/>
        <v>3.8475000000000006</v>
      </c>
      <c r="J37" s="11">
        <v>144.35</v>
      </c>
      <c r="K37" s="4"/>
      <c r="L37" s="45" t="s">
        <v>55</v>
      </c>
      <c r="M37" s="17"/>
      <c r="N37" s="21" t="s">
        <v>36</v>
      </c>
      <c r="O37" s="21" t="s">
        <v>36</v>
      </c>
      <c r="P37" s="21" t="s">
        <v>36</v>
      </c>
      <c r="Q37" s="21" t="s">
        <v>36</v>
      </c>
      <c r="R37" s="21" t="s">
        <v>36</v>
      </c>
      <c r="S37" s="21" t="s">
        <v>36</v>
      </c>
      <c r="T37" s="21" t="s">
        <v>36</v>
      </c>
      <c r="U37" s="21" t="s">
        <v>36</v>
      </c>
      <c r="V37" s="21" t="s">
        <v>36</v>
      </c>
      <c r="W37" s="21" t="s">
        <v>36</v>
      </c>
      <c r="X37" s="13"/>
      <c r="Y37" s="13"/>
      <c r="Z37" s="49"/>
      <c r="AA37" s="65"/>
      <c r="AB37" s="62"/>
      <c r="AC37" s="62"/>
      <c r="AD37" s="74"/>
      <c r="AE37" s="60"/>
    </row>
    <row r="38" spans="1:31" ht="15.75" customHeight="1" x14ac:dyDescent="0.25">
      <c r="A38" s="4">
        <v>143</v>
      </c>
      <c r="B38" s="7">
        <v>45903</v>
      </c>
      <c r="C38" s="8" t="str">
        <f>+VLOOKUP(A38,CLIENTES!$A$4:$B$487,2,FALSE)</f>
        <v>ABG. JOSE GREGORIO</v>
      </c>
      <c r="D38" s="9">
        <v>100</v>
      </c>
      <c r="E38" s="9">
        <f t="shared" si="5"/>
        <v>100</v>
      </c>
      <c r="F38" s="10">
        <v>0.15</v>
      </c>
      <c r="G38" s="7">
        <v>45933</v>
      </c>
      <c r="H38" s="4"/>
      <c r="I38" s="11">
        <f t="shared" si="3"/>
        <v>15</v>
      </c>
      <c r="J38" s="11">
        <v>0</v>
      </c>
      <c r="K38" s="4"/>
      <c r="L38" s="4" t="s">
        <v>56</v>
      </c>
      <c r="M38" s="17"/>
      <c r="N38" s="21" t="s">
        <v>36</v>
      </c>
      <c r="O38" s="21" t="s">
        <v>36</v>
      </c>
      <c r="P38" s="21" t="s">
        <v>36</v>
      </c>
      <c r="Q38" s="21" t="s">
        <v>36</v>
      </c>
      <c r="R38" s="21" t="s">
        <v>36</v>
      </c>
      <c r="S38" s="21" t="s">
        <v>36</v>
      </c>
      <c r="T38" s="21" t="s">
        <v>36</v>
      </c>
      <c r="U38" s="21" t="s">
        <v>36</v>
      </c>
      <c r="V38" s="21" t="s">
        <v>36</v>
      </c>
      <c r="W38" s="21" t="s">
        <v>36</v>
      </c>
      <c r="X38" s="14"/>
      <c r="Y38" s="14"/>
      <c r="Z38" s="48"/>
      <c r="AA38" s="61"/>
      <c r="AB38" s="61"/>
      <c r="AC38" s="61"/>
      <c r="AD38" s="74"/>
      <c r="AE38" s="60"/>
    </row>
    <row r="39" spans="1:31" ht="15" customHeight="1" x14ac:dyDescent="0.25">
      <c r="A39" s="4">
        <v>114</v>
      </c>
      <c r="B39" s="7">
        <v>45928</v>
      </c>
      <c r="C39" s="45" t="str">
        <f>+VLOOKUP(A39,CLIENTES!$A$4:$B$487,2,FALSE)</f>
        <v>ALBER UZCATEGUI</v>
      </c>
      <c r="D39" s="9">
        <v>1200</v>
      </c>
      <c r="E39" s="9">
        <f t="shared" si="5"/>
        <v>840</v>
      </c>
      <c r="F39" s="10">
        <v>0.1</v>
      </c>
      <c r="G39" s="7">
        <v>45958</v>
      </c>
      <c r="H39" s="4"/>
      <c r="I39" s="11">
        <f t="shared" si="3"/>
        <v>84</v>
      </c>
      <c r="J39" s="11">
        <v>360</v>
      </c>
      <c r="K39" s="4"/>
      <c r="L39" s="4"/>
      <c r="M39" s="17"/>
      <c r="N39" s="21" t="s">
        <v>36</v>
      </c>
      <c r="O39" s="21" t="s">
        <v>36</v>
      </c>
      <c r="P39" s="21" t="s">
        <v>36</v>
      </c>
      <c r="Q39" s="21" t="s">
        <v>36</v>
      </c>
      <c r="R39" s="21" t="s">
        <v>36</v>
      </c>
      <c r="S39" s="21" t="s">
        <v>36</v>
      </c>
      <c r="T39" s="21" t="s">
        <v>36</v>
      </c>
      <c r="U39" s="21" t="s">
        <v>36</v>
      </c>
      <c r="V39" s="21" t="s">
        <v>36</v>
      </c>
      <c r="W39" s="21" t="s">
        <v>36</v>
      </c>
      <c r="X39" s="13"/>
      <c r="Y39" s="44"/>
      <c r="Z39" s="70"/>
      <c r="AA39" s="62"/>
      <c r="AB39" s="62"/>
      <c r="AC39" s="61"/>
      <c r="AD39" s="74"/>
      <c r="AE39" s="53"/>
    </row>
    <row r="40" spans="1:31" ht="15" customHeight="1" x14ac:dyDescent="0.25">
      <c r="A40" s="4">
        <v>131</v>
      </c>
      <c r="B40" s="7">
        <v>45934</v>
      </c>
      <c r="C40" s="8" t="str">
        <f>+VLOOKUP(A40,CLIENTES!$A$4:$B$487,2,FALSE)</f>
        <v>VICTOR DELGADO</v>
      </c>
      <c r="D40" s="9">
        <v>60</v>
      </c>
      <c r="E40" s="9">
        <f t="shared" ref="E40:E71" si="6">D40-J40</f>
        <v>60</v>
      </c>
      <c r="F40" s="10">
        <v>0.2</v>
      </c>
      <c r="G40" s="7">
        <v>45965</v>
      </c>
      <c r="H40" s="4"/>
      <c r="I40" s="11">
        <f t="shared" si="3"/>
        <v>12</v>
      </c>
      <c r="J40" s="11">
        <v>0</v>
      </c>
      <c r="K40" s="4"/>
      <c r="L40" s="4" t="s">
        <v>57</v>
      </c>
      <c r="M40" s="17"/>
      <c r="N40" s="21" t="s">
        <v>36</v>
      </c>
      <c r="O40" s="21" t="s">
        <v>36</v>
      </c>
      <c r="P40" s="21" t="s">
        <v>36</v>
      </c>
      <c r="Q40" s="21" t="s">
        <v>36</v>
      </c>
      <c r="R40" s="21" t="s">
        <v>36</v>
      </c>
      <c r="S40" s="21" t="s">
        <v>36</v>
      </c>
      <c r="T40" s="21" t="s">
        <v>36</v>
      </c>
      <c r="U40" s="21" t="s">
        <v>36</v>
      </c>
      <c r="V40" s="21" t="s">
        <v>36</v>
      </c>
      <c r="W40" s="21" t="s">
        <v>36</v>
      </c>
      <c r="X40" s="21" t="s">
        <v>36</v>
      </c>
      <c r="Y40" s="13"/>
      <c r="Z40" s="49"/>
      <c r="AA40" s="62"/>
      <c r="AB40" s="62"/>
      <c r="AC40" s="61"/>
      <c r="AD40" s="74"/>
      <c r="AE40" s="60"/>
    </row>
    <row r="41" spans="1:31" ht="15.75" customHeight="1" x14ac:dyDescent="0.25">
      <c r="A41" s="4">
        <v>131</v>
      </c>
      <c r="B41" s="7">
        <v>45946</v>
      </c>
      <c r="C41" s="45" t="str">
        <f>+VLOOKUP(A41,CLIENTES!$A$4:$B$487,2,FALSE)</f>
        <v>VICTOR DELGADO</v>
      </c>
      <c r="D41" s="9">
        <v>25</v>
      </c>
      <c r="E41" s="9">
        <f t="shared" si="6"/>
        <v>25</v>
      </c>
      <c r="F41" s="10">
        <v>0.2</v>
      </c>
      <c r="G41" s="7"/>
      <c r="H41" s="4"/>
      <c r="I41" s="11">
        <f t="shared" si="3"/>
        <v>5</v>
      </c>
      <c r="J41" s="11">
        <v>0</v>
      </c>
      <c r="K41" s="4"/>
      <c r="L41" s="4" t="s">
        <v>57</v>
      </c>
      <c r="M41" s="17"/>
      <c r="N41" s="21" t="s">
        <v>36</v>
      </c>
      <c r="O41" s="21" t="s">
        <v>36</v>
      </c>
      <c r="P41" s="21" t="s">
        <v>36</v>
      </c>
      <c r="Q41" s="21" t="s">
        <v>36</v>
      </c>
      <c r="R41" s="21" t="s">
        <v>36</v>
      </c>
      <c r="S41" s="21" t="s">
        <v>36</v>
      </c>
      <c r="T41" s="21" t="s">
        <v>36</v>
      </c>
      <c r="U41" s="21" t="s">
        <v>36</v>
      </c>
      <c r="V41" s="21" t="s">
        <v>36</v>
      </c>
      <c r="W41" s="21" t="s">
        <v>36</v>
      </c>
      <c r="X41" s="21" t="s">
        <v>36</v>
      </c>
      <c r="Y41" s="13"/>
      <c r="Z41" s="49"/>
      <c r="AA41" s="62"/>
      <c r="AB41" s="61"/>
      <c r="AC41" s="61"/>
      <c r="AD41" s="74"/>
      <c r="AE41" s="60"/>
    </row>
    <row r="42" spans="1:31" x14ac:dyDescent="0.25">
      <c r="A42" s="4">
        <v>143</v>
      </c>
      <c r="B42" s="7">
        <v>45957</v>
      </c>
      <c r="C42" s="45" t="str">
        <f>+VLOOKUP(A42,CLIENTES!$A$4:$B$487,2,FALSE)</f>
        <v>ABG. JOSE GREGORIO</v>
      </c>
      <c r="D42" s="9">
        <v>190</v>
      </c>
      <c r="E42" s="9">
        <f t="shared" si="6"/>
        <v>190</v>
      </c>
      <c r="F42" s="10">
        <v>0.15</v>
      </c>
      <c r="G42" s="7"/>
      <c r="H42" s="4"/>
      <c r="I42" s="11">
        <f t="shared" si="3"/>
        <v>28.5</v>
      </c>
      <c r="J42" s="11">
        <v>0</v>
      </c>
      <c r="K42" s="4"/>
      <c r="L42" s="4" t="s">
        <v>58</v>
      </c>
      <c r="M42" s="17"/>
      <c r="N42" s="21" t="s">
        <v>36</v>
      </c>
      <c r="O42" s="21" t="s">
        <v>36</v>
      </c>
      <c r="P42" s="21" t="s">
        <v>36</v>
      </c>
      <c r="Q42" s="21" t="s">
        <v>36</v>
      </c>
      <c r="R42" s="21" t="s">
        <v>36</v>
      </c>
      <c r="S42" s="21" t="s">
        <v>36</v>
      </c>
      <c r="T42" s="21" t="s">
        <v>36</v>
      </c>
      <c r="U42" s="21" t="s">
        <v>36</v>
      </c>
      <c r="V42" s="21" t="s">
        <v>36</v>
      </c>
      <c r="W42" s="21" t="s">
        <v>36</v>
      </c>
      <c r="X42" s="21" t="s">
        <v>36</v>
      </c>
      <c r="Y42" s="44"/>
      <c r="Z42" s="49"/>
      <c r="AA42" s="62"/>
      <c r="AB42" s="61"/>
      <c r="AC42" s="61"/>
      <c r="AD42" s="73"/>
      <c r="AE42" s="53"/>
    </row>
    <row r="43" spans="1:31" ht="15.75" customHeight="1" x14ac:dyDescent="0.25">
      <c r="A43" s="4">
        <v>180</v>
      </c>
      <c r="B43" s="7">
        <v>45971</v>
      </c>
      <c r="C43" s="43" t="str">
        <f>+VLOOKUP(A43,CLIENTES!$A$4:$B$487,2,FALSE)</f>
        <v>BRENDA VERGADA</v>
      </c>
      <c r="D43" s="9">
        <v>100</v>
      </c>
      <c r="E43" s="9">
        <f t="shared" si="6"/>
        <v>100</v>
      </c>
      <c r="F43" s="10">
        <v>0.15</v>
      </c>
      <c r="G43" s="7"/>
      <c r="H43" s="4"/>
      <c r="I43" s="11">
        <f t="shared" si="3"/>
        <v>15</v>
      </c>
      <c r="J43" s="11">
        <v>0</v>
      </c>
      <c r="K43" s="4"/>
      <c r="L43" s="4" t="s">
        <v>59</v>
      </c>
      <c r="M43" s="17"/>
      <c r="N43" s="21" t="s">
        <v>36</v>
      </c>
      <c r="O43" s="21" t="s">
        <v>36</v>
      </c>
      <c r="P43" s="21" t="s">
        <v>36</v>
      </c>
      <c r="Q43" s="21" t="s">
        <v>36</v>
      </c>
      <c r="R43" s="21" t="s">
        <v>36</v>
      </c>
      <c r="S43" s="21" t="s">
        <v>36</v>
      </c>
      <c r="T43" s="21" t="s">
        <v>36</v>
      </c>
      <c r="U43" s="21" t="s">
        <v>36</v>
      </c>
      <c r="V43" s="21" t="s">
        <v>36</v>
      </c>
      <c r="W43" s="21" t="s">
        <v>36</v>
      </c>
      <c r="X43" s="21" t="s">
        <v>36</v>
      </c>
      <c r="Y43" s="21" t="s">
        <v>36</v>
      </c>
      <c r="Z43" s="49"/>
      <c r="AA43" s="62"/>
      <c r="AB43" s="62"/>
      <c r="AC43" s="62"/>
      <c r="AD43" s="75"/>
      <c r="AE43" s="63"/>
    </row>
    <row r="44" spans="1:31" ht="14.25" customHeight="1" x14ac:dyDescent="0.25">
      <c r="A44" s="4">
        <v>131</v>
      </c>
      <c r="B44" s="7">
        <v>45971</v>
      </c>
      <c r="C44" s="45" t="str">
        <f>+VLOOKUP(A44,CLIENTES!$A$4:$B$487,2,FALSE)</f>
        <v>VICTOR DELGADO</v>
      </c>
      <c r="D44" s="9">
        <v>50</v>
      </c>
      <c r="E44" s="9">
        <f t="shared" si="6"/>
        <v>50</v>
      </c>
      <c r="F44" s="10">
        <v>0.15</v>
      </c>
      <c r="G44" s="7"/>
      <c r="H44" s="4"/>
      <c r="I44" s="11">
        <f t="shared" si="3"/>
        <v>7.5</v>
      </c>
      <c r="J44" s="11">
        <v>0</v>
      </c>
      <c r="K44" s="4"/>
      <c r="L44" s="4" t="s">
        <v>60</v>
      </c>
      <c r="M44" s="17"/>
      <c r="N44" s="21"/>
      <c r="O44" s="21"/>
      <c r="P44" s="21"/>
      <c r="Q44" s="21"/>
      <c r="R44" s="21"/>
      <c r="S44" s="21" t="s">
        <v>36</v>
      </c>
      <c r="T44" s="21" t="s">
        <v>36</v>
      </c>
      <c r="U44" s="21" t="s">
        <v>36</v>
      </c>
      <c r="V44" s="21" t="s">
        <v>36</v>
      </c>
      <c r="W44" s="21" t="s">
        <v>36</v>
      </c>
      <c r="X44" s="21" t="s">
        <v>36</v>
      </c>
      <c r="Y44" s="21" t="s">
        <v>36</v>
      </c>
      <c r="Z44" s="49"/>
      <c r="AA44" s="62"/>
      <c r="AB44" s="62"/>
      <c r="AC44" s="61"/>
      <c r="AD44" s="74"/>
      <c r="AE44" s="60"/>
    </row>
    <row r="45" spans="1:31" ht="15.75" customHeight="1" x14ac:dyDescent="0.25">
      <c r="A45" s="4">
        <v>142</v>
      </c>
      <c r="B45" s="7">
        <v>45970</v>
      </c>
      <c r="C45" s="43" t="str">
        <f>+VLOOKUP(A45,CLIENTES!$A$4:$B$487,2,FALSE)</f>
        <v>LISBETH MORALES</v>
      </c>
      <c r="D45" s="9">
        <v>200</v>
      </c>
      <c r="E45" s="9">
        <f t="shared" si="6"/>
        <v>200</v>
      </c>
      <c r="F45" s="10">
        <v>0.15</v>
      </c>
      <c r="G45" s="7"/>
      <c r="H45" s="4"/>
      <c r="I45" s="11">
        <f t="shared" si="3"/>
        <v>30</v>
      </c>
      <c r="J45" s="11">
        <v>0</v>
      </c>
      <c r="K45" s="4"/>
      <c r="L45" s="4" t="s">
        <v>61</v>
      </c>
      <c r="M45" s="17"/>
      <c r="N45" s="21"/>
      <c r="O45" s="21"/>
      <c r="P45" s="21"/>
      <c r="Q45" s="21"/>
      <c r="R45" s="21"/>
      <c r="S45" s="21" t="s">
        <v>36</v>
      </c>
      <c r="T45" s="21" t="s">
        <v>36</v>
      </c>
      <c r="U45" s="21" t="s">
        <v>36</v>
      </c>
      <c r="V45" s="21" t="s">
        <v>36</v>
      </c>
      <c r="W45" s="21" t="s">
        <v>36</v>
      </c>
      <c r="X45" s="21" t="s">
        <v>36</v>
      </c>
      <c r="Y45" s="21" t="s">
        <v>36</v>
      </c>
      <c r="Z45" s="49"/>
      <c r="AA45" s="62"/>
      <c r="AB45" s="62"/>
      <c r="AC45" s="62"/>
      <c r="AD45" s="75"/>
      <c r="AE45" s="60" t="s">
        <v>242</v>
      </c>
    </row>
    <row r="46" spans="1:31" ht="15.75" customHeight="1" x14ac:dyDescent="0.25">
      <c r="A46" s="4">
        <v>167</v>
      </c>
      <c r="B46" s="7">
        <v>45973</v>
      </c>
      <c r="C46" s="43" t="str">
        <f>+VLOOKUP(A46,CLIENTES!$A$4:$B$487,2,FALSE)</f>
        <v>WENDY RONDON</v>
      </c>
      <c r="D46" s="9">
        <v>250</v>
      </c>
      <c r="E46" s="9">
        <f t="shared" si="6"/>
        <v>135</v>
      </c>
      <c r="F46" s="10">
        <v>0.1</v>
      </c>
      <c r="G46" s="7"/>
      <c r="H46" s="4"/>
      <c r="I46" s="11">
        <f t="shared" si="3"/>
        <v>13.5</v>
      </c>
      <c r="J46" s="11">
        <v>115</v>
      </c>
      <c r="K46" s="4"/>
      <c r="L46" s="4"/>
      <c r="M46" s="17"/>
      <c r="N46" s="21"/>
      <c r="O46" s="21"/>
      <c r="P46" s="21"/>
      <c r="Q46" s="21"/>
      <c r="R46" s="21"/>
      <c r="S46" s="21" t="s">
        <v>36</v>
      </c>
      <c r="T46" s="21" t="s">
        <v>36</v>
      </c>
      <c r="U46" s="21" t="s">
        <v>36</v>
      </c>
      <c r="V46" s="21" t="s">
        <v>36</v>
      </c>
      <c r="W46" s="21" t="s">
        <v>36</v>
      </c>
      <c r="X46" s="21" t="s">
        <v>36</v>
      </c>
      <c r="Y46" s="21" t="s">
        <v>36</v>
      </c>
      <c r="Z46" s="49"/>
      <c r="AA46" s="62"/>
      <c r="AB46" s="62"/>
      <c r="AC46" s="62"/>
      <c r="AD46" s="76"/>
      <c r="AE46" s="63"/>
    </row>
    <row r="47" spans="1:31" ht="15" customHeight="1" x14ac:dyDescent="0.25">
      <c r="A47" s="4">
        <v>179</v>
      </c>
      <c r="B47" s="7">
        <v>46000</v>
      </c>
      <c r="C47" s="45" t="str">
        <f>+VLOOKUP(A47,CLIENTES!$A$4:$B$487,2,FALSE)</f>
        <v>MARYULIS PERNIA</v>
      </c>
      <c r="D47" s="9">
        <v>80</v>
      </c>
      <c r="E47" s="9">
        <f t="shared" si="6"/>
        <v>80</v>
      </c>
      <c r="F47" s="10">
        <v>0.15</v>
      </c>
      <c r="G47" s="7"/>
      <c r="H47" s="4"/>
      <c r="I47" s="11">
        <f t="shared" si="3"/>
        <v>12</v>
      </c>
      <c r="J47" s="11">
        <v>0</v>
      </c>
      <c r="K47" s="4"/>
      <c r="L47" s="4" t="s">
        <v>59</v>
      </c>
      <c r="M47" s="17"/>
      <c r="N47" s="21" t="s">
        <v>36</v>
      </c>
      <c r="O47" s="21" t="s">
        <v>36</v>
      </c>
      <c r="P47" s="21" t="s">
        <v>36</v>
      </c>
      <c r="Q47" s="21" t="s">
        <v>36</v>
      </c>
      <c r="R47" s="21" t="s">
        <v>36</v>
      </c>
      <c r="S47" s="21" t="s">
        <v>36</v>
      </c>
      <c r="T47" s="21" t="s">
        <v>36</v>
      </c>
      <c r="U47" s="21" t="s">
        <v>36</v>
      </c>
      <c r="V47" s="21" t="s">
        <v>36</v>
      </c>
      <c r="W47" s="21" t="s">
        <v>36</v>
      </c>
      <c r="X47" s="21" t="s">
        <v>36</v>
      </c>
      <c r="Y47" s="21" t="s">
        <v>36</v>
      </c>
      <c r="Z47" s="21" t="s">
        <v>36</v>
      </c>
      <c r="AA47" s="62"/>
      <c r="AB47" s="62"/>
      <c r="AC47" s="61"/>
      <c r="AD47" s="74"/>
      <c r="AE47" s="60"/>
    </row>
    <row r="48" spans="1:31" ht="15" customHeight="1" x14ac:dyDescent="0.25">
      <c r="A48" s="4">
        <v>137</v>
      </c>
      <c r="B48" s="7">
        <v>46008</v>
      </c>
      <c r="C48" s="43" t="str">
        <f>+VLOOKUP(A48,CLIENTES!$A$4:$B$487,2,FALSE)</f>
        <v>IVAN RODRIGUEZ</v>
      </c>
      <c r="D48" s="9">
        <v>100</v>
      </c>
      <c r="E48" s="9">
        <f t="shared" si="6"/>
        <v>100</v>
      </c>
      <c r="F48" s="10">
        <v>0.15</v>
      </c>
      <c r="G48" s="7"/>
      <c r="H48" s="4"/>
      <c r="I48" s="11">
        <f t="shared" si="3"/>
        <v>15</v>
      </c>
      <c r="J48" s="11">
        <v>0</v>
      </c>
      <c r="K48" s="4"/>
      <c r="L48" s="4" t="s">
        <v>50</v>
      </c>
      <c r="M48" s="17"/>
      <c r="N48" s="21"/>
      <c r="O48" s="21"/>
      <c r="P48" s="21"/>
      <c r="Q48" s="21"/>
      <c r="R48" s="21"/>
      <c r="S48" s="21" t="s">
        <v>36</v>
      </c>
      <c r="T48" s="21" t="s">
        <v>36</v>
      </c>
      <c r="U48" s="21" t="s">
        <v>36</v>
      </c>
      <c r="V48" s="21" t="s">
        <v>36</v>
      </c>
      <c r="W48" s="21" t="s">
        <v>36</v>
      </c>
      <c r="X48" s="21" t="s">
        <v>36</v>
      </c>
      <c r="Y48" s="21" t="s">
        <v>36</v>
      </c>
      <c r="Z48" s="21" t="s">
        <v>36</v>
      </c>
      <c r="AA48" s="68"/>
      <c r="AB48" s="63"/>
      <c r="AC48" s="63"/>
      <c r="AD48" s="75"/>
      <c r="AE48" s="63"/>
    </row>
    <row r="49" spans="1:31" ht="15" customHeight="1" x14ac:dyDescent="0.25">
      <c r="A49" s="4">
        <v>183</v>
      </c>
      <c r="B49" s="7">
        <v>45997</v>
      </c>
      <c r="C49" s="43" t="str">
        <f>+VLOOKUP(A49,CLIENTES!$A$4:$B$487,2,FALSE)</f>
        <v>CARMEN HERNANDEZ</v>
      </c>
      <c r="D49" s="9">
        <v>300</v>
      </c>
      <c r="E49" s="9">
        <f t="shared" si="6"/>
        <v>100</v>
      </c>
      <c r="F49" s="10">
        <v>0.15</v>
      </c>
      <c r="G49" s="7"/>
      <c r="H49" s="4"/>
      <c r="I49" s="11">
        <f t="shared" si="3"/>
        <v>15</v>
      </c>
      <c r="J49" s="11">
        <v>200</v>
      </c>
      <c r="K49" s="4"/>
      <c r="L49" s="4" t="s">
        <v>58</v>
      </c>
      <c r="M49" s="17"/>
      <c r="N49" s="21"/>
      <c r="O49" s="21"/>
      <c r="P49" s="21"/>
      <c r="Q49" s="21"/>
      <c r="R49" s="21"/>
      <c r="S49" s="21" t="s">
        <v>36</v>
      </c>
      <c r="T49" s="21" t="s">
        <v>36</v>
      </c>
      <c r="U49" s="21" t="s">
        <v>36</v>
      </c>
      <c r="V49" s="21" t="s">
        <v>36</v>
      </c>
      <c r="W49" s="21" t="s">
        <v>36</v>
      </c>
      <c r="X49" s="21" t="s">
        <v>36</v>
      </c>
      <c r="Y49" s="21" t="s">
        <v>36</v>
      </c>
      <c r="Z49" s="21" t="s">
        <v>36</v>
      </c>
      <c r="AA49" s="63"/>
      <c r="AB49" s="63"/>
      <c r="AC49" s="63"/>
      <c r="AD49" s="75"/>
      <c r="AE49" s="63"/>
    </row>
    <row r="50" spans="1:31" ht="14.25" customHeight="1" x14ac:dyDescent="0.25">
      <c r="A50" s="4">
        <v>113</v>
      </c>
      <c r="B50" s="7">
        <v>46021</v>
      </c>
      <c r="C50" s="43" t="str">
        <f>+VLOOKUP(A50,CLIENTES!$A$4:$B$487,2,FALSE)</f>
        <v>REINALDO DAVILA</v>
      </c>
      <c r="D50" s="9">
        <v>50</v>
      </c>
      <c r="E50" s="9">
        <f t="shared" si="6"/>
        <v>50</v>
      </c>
      <c r="F50" s="10">
        <v>0.15</v>
      </c>
      <c r="G50" s="7"/>
      <c r="H50" s="4"/>
      <c r="I50" s="11">
        <f t="shared" si="3"/>
        <v>7.5</v>
      </c>
      <c r="J50" s="11">
        <v>0</v>
      </c>
      <c r="K50" s="4"/>
      <c r="L50" s="4" t="s">
        <v>228</v>
      </c>
      <c r="M50" s="17"/>
      <c r="N50" s="21"/>
      <c r="O50" s="21"/>
      <c r="P50" s="21"/>
      <c r="Q50" s="21"/>
      <c r="R50" s="21"/>
      <c r="S50" s="21" t="s">
        <v>36</v>
      </c>
      <c r="T50" s="21" t="s">
        <v>36</v>
      </c>
      <c r="U50" s="21" t="s">
        <v>36</v>
      </c>
      <c r="V50" s="21" t="s">
        <v>36</v>
      </c>
      <c r="W50" s="21" t="s">
        <v>36</v>
      </c>
      <c r="X50" s="21" t="s">
        <v>36</v>
      </c>
      <c r="Y50" s="21" t="s">
        <v>36</v>
      </c>
      <c r="Z50" s="21" t="s">
        <v>36</v>
      </c>
      <c r="AA50" s="63"/>
      <c r="AB50" s="63"/>
      <c r="AC50" s="63"/>
      <c r="AD50" s="75"/>
      <c r="AE50" s="77"/>
    </row>
    <row r="51" spans="1:31" ht="14.25" customHeight="1" x14ac:dyDescent="0.25">
      <c r="A51" s="4">
        <v>113</v>
      </c>
      <c r="B51" s="7">
        <v>46025</v>
      </c>
      <c r="C51" s="43" t="str">
        <f>+VLOOKUP(A51,CLIENTES!$A$4:$B$487,2,FALSE)</f>
        <v>REINALDO DAVILA</v>
      </c>
      <c r="D51" s="9">
        <v>200</v>
      </c>
      <c r="E51" s="9">
        <f t="shared" si="6"/>
        <v>200</v>
      </c>
      <c r="F51" s="10">
        <v>0.15</v>
      </c>
      <c r="G51" s="7"/>
      <c r="H51" s="4"/>
      <c r="I51" s="11">
        <f t="shared" si="3"/>
        <v>30</v>
      </c>
      <c r="J51" s="11">
        <v>0</v>
      </c>
      <c r="K51" s="4"/>
      <c r="L51" s="4" t="s">
        <v>221</v>
      </c>
      <c r="M51" s="17"/>
      <c r="N51" s="21"/>
      <c r="O51" s="21"/>
      <c r="P51" s="21"/>
      <c r="Q51" s="21"/>
      <c r="R51" s="21"/>
      <c r="S51" s="21" t="s">
        <v>36</v>
      </c>
      <c r="T51" s="21" t="s">
        <v>36</v>
      </c>
      <c r="U51" s="21" t="s">
        <v>36</v>
      </c>
      <c r="V51" s="21" t="s">
        <v>36</v>
      </c>
      <c r="W51" s="21" t="s">
        <v>36</v>
      </c>
      <c r="X51" s="21" t="s">
        <v>36</v>
      </c>
      <c r="Y51" s="21" t="s">
        <v>36</v>
      </c>
      <c r="Z51" s="21" t="s">
        <v>36</v>
      </c>
      <c r="AA51" s="21" t="s">
        <v>36</v>
      </c>
      <c r="AB51" s="63"/>
      <c r="AC51" s="63"/>
      <c r="AD51" s="75"/>
      <c r="AE51" s="63"/>
    </row>
    <row r="52" spans="1:31" ht="14.25" customHeight="1" x14ac:dyDescent="0.25">
      <c r="A52" s="4">
        <v>114</v>
      </c>
      <c r="B52" s="69">
        <v>46043</v>
      </c>
      <c r="C52" s="45" t="str">
        <f>+VLOOKUP(A52,CLIENTES!$A$4:$B$487,2,FALSE)</f>
        <v>ALBER UZCATEGUI</v>
      </c>
      <c r="D52" s="9">
        <v>3000</v>
      </c>
      <c r="E52" s="9">
        <f t="shared" si="6"/>
        <v>3000</v>
      </c>
      <c r="F52" s="10">
        <v>0.1</v>
      </c>
      <c r="G52" s="7"/>
      <c r="H52" s="4"/>
      <c r="I52" s="11">
        <f t="shared" si="3"/>
        <v>300</v>
      </c>
      <c r="J52" s="11">
        <v>0</v>
      </c>
      <c r="K52" s="4"/>
      <c r="L52" s="46" t="s">
        <v>205</v>
      </c>
      <c r="M52" s="17"/>
      <c r="N52" s="21"/>
      <c r="O52" s="21"/>
      <c r="P52" s="21"/>
      <c r="Q52" s="21"/>
      <c r="R52" s="21"/>
      <c r="S52" s="21" t="s">
        <v>36</v>
      </c>
      <c r="T52" s="21" t="s">
        <v>36</v>
      </c>
      <c r="U52" s="21" t="s">
        <v>36</v>
      </c>
      <c r="V52" s="21" t="s">
        <v>36</v>
      </c>
      <c r="W52" s="21" t="s">
        <v>36</v>
      </c>
      <c r="X52" s="21" t="s">
        <v>36</v>
      </c>
      <c r="Y52" s="21" t="s">
        <v>36</v>
      </c>
      <c r="Z52" s="21" t="s">
        <v>36</v>
      </c>
      <c r="AA52" s="21" t="s">
        <v>36</v>
      </c>
      <c r="AB52" s="60"/>
      <c r="AC52" s="60"/>
      <c r="AD52" s="74"/>
      <c r="AE52" s="60"/>
    </row>
    <row r="53" spans="1:31" ht="15.6" customHeight="1" x14ac:dyDescent="0.25">
      <c r="A53" s="4">
        <v>181</v>
      </c>
      <c r="B53" s="7">
        <v>46077</v>
      </c>
      <c r="C53" s="45" t="str">
        <f>+VLOOKUP(A53,CLIENTES!$A$4:$B$487,2,FALSE)</f>
        <v>SUSAN MARQUEZ</v>
      </c>
      <c r="D53" s="9">
        <v>120</v>
      </c>
      <c r="E53" s="9">
        <f t="shared" si="6"/>
        <v>120</v>
      </c>
      <c r="F53" s="10">
        <v>0.15</v>
      </c>
      <c r="G53" s="7"/>
      <c r="H53" s="4"/>
      <c r="I53" s="11">
        <f t="shared" si="3"/>
        <v>18</v>
      </c>
      <c r="J53" s="11">
        <v>0</v>
      </c>
      <c r="K53" s="4"/>
      <c r="L53" s="4" t="s">
        <v>58</v>
      </c>
      <c r="M53" s="17"/>
      <c r="N53" s="21"/>
      <c r="O53" s="21"/>
      <c r="P53" s="21"/>
      <c r="Q53" s="21"/>
      <c r="R53" s="21"/>
      <c r="S53" s="21"/>
      <c r="T53" s="21"/>
      <c r="U53" s="21" t="s">
        <v>36</v>
      </c>
      <c r="V53" s="21" t="s">
        <v>36</v>
      </c>
      <c r="W53" s="21" t="s">
        <v>36</v>
      </c>
      <c r="X53" s="21" t="s">
        <v>36</v>
      </c>
      <c r="Y53" s="21" t="s">
        <v>36</v>
      </c>
      <c r="Z53" s="21" t="s">
        <v>36</v>
      </c>
      <c r="AA53" s="21" t="s">
        <v>36</v>
      </c>
      <c r="AB53" s="21" t="s">
        <v>36</v>
      </c>
      <c r="AC53" s="63"/>
      <c r="AD53" s="75">
        <v>12</v>
      </c>
      <c r="AE53" s="60"/>
    </row>
    <row r="54" spans="1:31" ht="14.25" customHeight="1" x14ac:dyDescent="0.25">
      <c r="A54" s="4">
        <v>114</v>
      </c>
      <c r="B54" s="7">
        <v>46089</v>
      </c>
      <c r="C54" s="43" t="str">
        <f>+VLOOKUP(A54,CLIENTES!$A$4:$B$487,2,FALSE)</f>
        <v>ALBER UZCATEGUI</v>
      </c>
      <c r="D54" s="9">
        <v>1000</v>
      </c>
      <c r="E54" s="9">
        <f t="shared" si="6"/>
        <v>1000</v>
      </c>
      <c r="F54" s="10">
        <v>0.1</v>
      </c>
      <c r="G54" s="7"/>
      <c r="H54" s="4"/>
      <c r="I54" s="11">
        <f t="shared" si="3"/>
        <v>100</v>
      </c>
      <c r="J54" s="11">
        <v>0</v>
      </c>
      <c r="K54" s="4"/>
      <c r="L54" s="4" t="s">
        <v>58</v>
      </c>
      <c r="M54" s="17"/>
      <c r="N54" s="21"/>
      <c r="O54" s="21"/>
      <c r="P54" s="21"/>
      <c r="Q54" s="21"/>
      <c r="R54" s="21"/>
      <c r="S54" s="21"/>
      <c r="T54" s="21"/>
      <c r="U54" s="21" t="s">
        <v>36</v>
      </c>
      <c r="V54" s="21" t="s">
        <v>36</v>
      </c>
      <c r="W54" s="21" t="s">
        <v>36</v>
      </c>
      <c r="X54" s="21" t="s">
        <v>36</v>
      </c>
      <c r="Y54" s="21" t="s">
        <v>36</v>
      </c>
      <c r="Z54" s="21" t="s">
        <v>36</v>
      </c>
      <c r="AA54" s="21" t="s">
        <v>36</v>
      </c>
      <c r="AB54" s="21" t="s">
        <v>36</v>
      </c>
      <c r="AC54" s="21" t="s">
        <v>36</v>
      </c>
      <c r="AD54" s="75"/>
      <c r="AE54" s="63"/>
    </row>
    <row r="55" spans="1:31" ht="14.25" customHeight="1" x14ac:dyDescent="0.25">
      <c r="A55" s="4">
        <v>187</v>
      </c>
      <c r="B55" s="7">
        <v>46097</v>
      </c>
      <c r="C55" s="43" t="str">
        <f>+VLOOKUP(A55,CLIENTES!$A$4:$B$487,2,FALSE)</f>
        <v>NAVOR</v>
      </c>
      <c r="D55" s="9">
        <v>1000</v>
      </c>
      <c r="E55" s="9">
        <f t="shared" si="6"/>
        <v>1000</v>
      </c>
      <c r="F55" s="10">
        <v>0.12</v>
      </c>
      <c r="G55" s="7"/>
      <c r="H55" s="4"/>
      <c r="I55" s="11">
        <f t="shared" si="3"/>
        <v>120</v>
      </c>
      <c r="J55" s="11">
        <v>0</v>
      </c>
      <c r="K55" s="4"/>
      <c r="L55" s="4" t="s">
        <v>58</v>
      </c>
      <c r="M55" s="17"/>
      <c r="N55" s="21"/>
      <c r="O55" s="21"/>
      <c r="P55" s="21"/>
      <c r="Q55" s="21"/>
      <c r="R55" s="21"/>
      <c r="S55" s="21"/>
      <c r="T55" s="21"/>
      <c r="U55" s="21" t="s">
        <v>36</v>
      </c>
      <c r="V55" s="21" t="s">
        <v>36</v>
      </c>
      <c r="W55" s="21" t="s">
        <v>36</v>
      </c>
      <c r="X55" s="21" t="s">
        <v>36</v>
      </c>
      <c r="Y55" s="21" t="s">
        <v>36</v>
      </c>
      <c r="Z55" s="21" t="s">
        <v>36</v>
      </c>
      <c r="AA55" s="21" t="s">
        <v>36</v>
      </c>
      <c r="AB55" s="21" t="s">
        <v>36</v>
      </c>
      <c r="AC55" s="21" t="s">
        <v>36</v>
      </c>
      <c r="AD55" s="75"/>
      <c r="AE55" s="63"/>
    </row>
    <row r="56" spans="1:31" ht="14.25" customHeight="1" x14ac:dyDescent="0.25">
      <c r="A56" s="4">
        <v>113</v>
      </c>
      <c r="B56" s="7">
        <v>46101</v>
      </c>
      <c r="C56" s="43" t="str">
        <f>+VLOOKUP(A56,CLIENTES!$A$4:$B$487,2,FALSE)</f>
        <v>REINALDO DAVILA</v>
      </c>
      <c r="D56" s="9">
        <v>200</v>
      </c>
      <c r="E56" s="9">
        <f t="shared" si="6"/>
        <v>200</v>
      </c>
      <c r="F56" s="10">
        <v>0.15</v>
      </c>
      <c r="G56" s="7"/>
      <c r="H56" s="4"/>
      <c r="I56" s="11">
        <f t="shared" si="3"/>
        <v>30</v>
      </c>
      <c r="J56" s="11">
        <v>0</v>
      </c>
      <c r="K56" s="4"/>
      <c r="L56" s="4" t="s">
        <v>57</v>
      </c>
      <c r="M56" s="17"/>
      <c r="N56" s="21"/>
      <c r="O56" s="21"/>
      <c r="P56" s="21"/>
      <c r="Q56" s="21"/>
      <c r="R56" s="21"/>
      <c r="S56" s="21"/>
      <c r="T56" s="21"/>
      <c r="U56" s="21" t="s">
        <v>36</v>
      </c>
      <c r="V56" s="21" t="s">
        <v>36</v>
      </c>
      <c r="W56" s="21" t="s">
        <v>36</v>
      </c>
      <c r="X56" s="21" t="s">
        <v>36</v>
      </c>
      <c r="Y56" s="21" t="s">
        <v>36</v>
      </c>
      <c r="Z56" s="21" t="s">
        <v>36</v>
      </c>
      <c r="AA56" s="21" t="s">
        <v>36</v>
      </c>
      <c r="AB56" s="21" t="s">
        <v>36</v>
      </c>
      <c r="AC56" s="21" t="s">
        <v>36</v>
      </c>
      <c r="AD56" s="75"/>
      <c r="AE56" s="63"/>
    </row>
    <row r="57" spans="1:31" ht="14.25" customHeight="1" x14ac:dyDescent="0.25">
      <c r="A57" s="4">
        <v>189</v>
      </c>
      <c r="B57" s="7">
        <v>45741</v>
      </c>
      <c r="C57" s="45" t="str">
        <f>+VLOOKUP(A57,CLIENTES!$A$4:$B$487,2,FALSE)</f>
        <v>ALVARO DUGARTE</v>
      </c>
      <c r="D57" s="9">
        <v>1000</v>
      </c>
      <c r="E57" s="9">
        <f t="shared" si="6"/>
        <v>1000</v>
      </c>
      <c r="F57" s="10">
        <v>0.1</v>
      </c>
      <c r="G57" s="7"/>
      <c r="H57" s="4"/>
      <c r="I57" s="11">
        <f t="shared" si="3"/>
        <v>100</v>
      </c>
      <c r="J57" s="11">
        <v>0</v>
      </c>
      <c r="K57" s="4"/>
      <c r="L57" s="4" t="s">
        <v>58</v>
      </c>
      <c r="M57" s="17"/>
      <c r="N57" s="21"/>
      <c r="O57" s="21"/>
      <c r="P57" s="21"/>
      <c r="Q57" s="21"/>
      <c r="R57" s="21"/>
      <c r="S57" s="21"/>
      <c r="T57" s="21"/>
      <c r="U57" s="21" t="s">
        <v>36</v>
      </c>
      <c r="V57" s="21" t="s">
        <v>36</v>
      </c>
      <c r="W57" s="21" t="s">
        <v>36</v>
      </c>
      <c r="X57" s="21" t="s">
        <v>36</v>
      </c>
      <c r="Y57" s="21" t="s">
        <v>36</v>
      </c>
      <c r="Z57" s="21" t="s">
        <v>36</v>
      </c>
      <c r="AA57" s="21" t="s">
        <v>36</v>
      </c>
      <c r="AB57" s="21" t="s">
        <v>36</v>
      </c>
      <c r="AC57" s="21" t="s">
        <v>36</v>
      </c>
      <c r="AD57" s="74"/>
      <c r="AE57" s="53"/>
    </row>
    <row r="58" spans="1:31" ht="14.25" customHeight="1" x14ac:dyDescent="0.25">
      <c r="A58" s="4">
        <v>116</v>
      </c>
      <c r="B58" s="7">
        <v>46118</v>
      </c>
      <c r="C58" s="45" t="str">
        <f>+VLOOKUP(A58,CLIENTES!$A$4:$B$487,2,FALSE)</f>
        <v>PUCHINI</v>
      </c>
      <c r="D58" s="9">
        <v>100</v>
      </c>
      <c r="E58" s="9">
        <f t="shared" si="6"/>
        <v>100</v>
      </c>
      <c r="F58" s="10">
        <v>0.15</v>
      </c>
      <c r="G58" s="7"/>
      <c r="H58" s="4"/>
      <c r="I58" s="11">
        <f t="shared" si="3"/>
        <v>15</v>
      </c>
      <c r="J58" s="11">
        <v>0</v>
      </c>
      <c r="K58" s="4"/>
      <c r="L58" s="4" t="s">
        <v>58</v>
      </c>
      <c r="M58" s="17"/>
      <c r="N58" s="21"/>
      <c r="O58" s="21"/>
      <c r="P58" s="21"/>
      <c r="Q58" s="21"/>
      <c r="R58" s="21"/>
      <c r="S58" s="21"/>
      <c r="T58" s="21"/>
      <c r="U58" s="21" t="s">
        <v>36</v>
      </c>
      <c r="V58" s="21" t="s">
        <v>36</v>
      </c>
      <c r="W58" s="21" t="s">
        <v>36</v>
      </c>
      <c r="X58" s="21" t="s">
        <v>36</v>
      </c>
      <c r="Y58" s="21" t="s">
        <v>36</v>
      </c>
      <c r="Z58" s="21" t="s">
        <v>36</v>
      </c>
      <c r="AA58" s="21" t="s">
        <v>36</v>
      </c>
      <c r="AB58" s="21" t="s">
        <v>36</v>
      </c>
      <c r="AC58" s="21" t="s">
        <v>36</v>
      </c>
      <c r="AD58" s="21" t="s">
        <v>36</v>
      </c>
      <c r="AE58" s="60"/>
    </row>
    <row r="59" spans="1:31" ht="14.25" customHeight="1" x14ac:dyDescent="0.25">
      <c r="A59" s="4">
        <v>181</v>
      </c>
      <c r="B59" s="7">
        <v>45758</v>
      </c>
      <c r="C59" s="45" t="str">
        <f>+VLOOKUP(A59,CLIENTES!$A$4:$B$487,2,FALSE)</f>
        <v>SUSAN MARQUEZ</v>
      </c>
      <c r="D59" s="9">
        <v>50</v>
      </c>
      <c r="E59" s="9">
        <f t="shared" si="6"/>
        <v>50</v>
      </c>
      <c r="F59" s="10">
        <v>0.15</v>
      </c>
      <c r="G59" s="7"/>
      <c r="H59" s="4"/>
      <c r="I59" s="11">
        <f t="shared" si="3"/>
        <v>7.5</v>
      </c>
      <c r="J59" s="11">
        <v>0</v>
      </c>
      <c r="K59" s="4"/>
      <c r="L59" s="4" t="s">
        <v>58</v>
      </c>
      <c r="M59" s="17"/>
      <c r="N59" s="21"/>
      <c r="O59" s="21"/>
      <c r="P59" s="21"/>
      <c r="Q59" s="21"/>
      <c r="R59" s="21"/>
      <c r="S59" s="21"/>
      <c r="T59" s="21"/>
      <c r="U59" s="21" t="s">
        <v>36</v>
      </c>
      <c r="V59" s="21" t="s">
        <v>36</v>
      </c>
      <c r="W59" s="21" t="s">
        <v>36</v>
      </c>
      <c r="X59" s="21" t="s">
        <v>36</v>
      </c>
      <c r="Y59" s="21" t="s">
        <v>36</v>
      </c>
      <c r="Z59" s="21" t="s">
        <v>36</v>
      </c>
      <c r="AA59" s="21" t="s">
        <v>36</v>
      </c>
      <c r="AB59" s="21" t="s">
        <v>36</v>
      </c>
      <c r="AC59" s="21" t="s">
        <v>36</v>
      </c>
      <c r="AD59" s="21" t="s">
        <v>36</v>
      </c>
      <c r="AE59" s="60"/>
    </row>
    <row r="60" spans="1:31" ht="14.25" customHeight="1" x14ac:dyDescent="0.25">
      <c r="A60" s="4">
        <v>169</v>
      </c>
      <c r="B60" s="7">
        <v>46132</v>
      </c>
      <c r="C60" s="43" t="str">
        <f>+VLOOKUP(A60,CLIENTES!$A$4:$B$487,2,FALSE)</f>
        <v>ANYI CASTILLO</v>
      </c>
      <c r="D60" s="9">
        <v>50</v>
      </c>
      <c r="E60" s="9">
        <f t="shared" si="6"/>
        <v>50</v>
      </c>
      <c r="F60" s="10">
        <v>0.15</v>
      </c>
      <c r="G60" s="7"/>
      <c r="H60" s="4"/>
      <c r="I60" s="11">
        <f t="shared" si="3"/>
        <v>7.5</v>
      </c>
      <c r="J60" s="11">
        <v>0</v>
      </c>
      <c r="K60" s="4"/>
      <c r="L60" s="4" t="s">
        <v>243</v>
      </c>
      <c r="M60" s="17"/>
      <c r="N60" s="21"/>
      <c r="O60" s="21"/>
      <c r="P60" s="21"/>
      <c r="Q60" s="21"/>
      <c r="R60" s="21"/>
      <c r="S60" s="21"/>
      <c r="T60" s="21"/>
      <c r="U60" s="21" t="s">
        <v>36</v>
      </c>
      <c r="V60" s="21" t="s">
        <v>36</v>
      </c>
      <c r="W60" s="21" t="s">
        <v>36</v>
      </c>
      <c r="X60" s="21" t="s">
        <v>36</v>
      </c>
      <c r="Y60" s="21" t="s">
        <v>36</v>
      </c>
      <c r="Z60" s="21" t="s">
        <v>36</v>
      </c>
      <c r="AA60" s="21" t="s">
        <v>36</v>
      </c>
      <c r="AB60" s="21" t="s">
        <v>36</v>
      </c>
      <c r="AC60" s="21" t="s">
        <v>36</v>
      </c>
      <c r="AD60" s="21" t="s">
        <v>36</v>
      </c>
      <c r="AE60" s="63"/>
    </row>
    <row r="61" spans="1:31" ht="15" customHeight="1" x14ac:dyDescent="0.25">
      <c r="A61" s="4">
        <v>190</v>
      </c>
      <c r="B61" s="7">
        <v>46132</v>
      </c>
      <c r="C61" s="43" t="str">
        <f>+VLOOKUP(A61,CLIENTES!$A$4:$B$487,2,FALSE)</f>
        <v>Carlin Lozada</v>
      </c>
      <c r="D61" s="9">
        <v>50</v>
      </c>
      <c r="E61" s="9">
        <v>50</v>
      </c>
      <c r="F61" s="10">
        <v>0.15</v>
      </c>
      <c r="G61" s="7"/>
      <c r="H61" s="4"/>
      <c r="I61" s="11">
        <f t="shared" si="3"/>
        <v>7.5</v>
      </c>
      <c r="J61" s="11">
        <v>0</v>
      </c>
      <c r="K61" s="4"/>
      <c r="L61" s="4" t="s">
        <v>58</v>
      </c>
      <c r="M61" s="17"/>
      <c r="N61" s="21"/>
      <c r="O61" s="21"/>
      <c r="P61" s="21"/>
      <c r="Q61" s="21"/>
      <c r="R61" s="21"/>
      <c r="S61" s="21"/>
      <c r="T61" s="21"/>
      <c r="U61" s="21" t="s">
        <v>36</v>
      </c>
      <c r="V61" s="21" t="s">
        <v>36</v>
      </c>
      <c r="W61" s="21" t="s">
        <v>36</v>
      </c>
      <c r="X61" s="21" t="s">
        <v>36</v>
      </c>
      <c r="Y61" s="21" t="s">
        <v>36</v>
      </c>
      <c r="Z61" s="21" t="s">
        <v>36</v>
      </c>
      <c r="AA61" s="21" t="s">
        <v>36</v>
      </c>
      <c r="AB61" s="21" t="s">
        <v>36</v>
      </c>
      <c r="AC61" s="21" t="s">
        <v>36</v>
      </c>
      <c r="AD61" s="21" t="s">
        <v>36</v>
      </c>
      <c r="AE61" s="63"/>
    </row>
    <row r="62" spans="1:31" ht="14.25" customHeight="1" x14ac:dyDescent="0.25">
      <c r="A62" s="4">
        <v>181</v>
      </c>
      <c r="B62" s="7">
        <v>46140</v>
      </c>
      <c r="C62" s="26" t="str">
        <f>+VLOOKUP(A62,CLIENTES!$A$4:$B$487,2,FALSE)</f>
        <v>SUSAN MARQUEZ</v>
      </c>
      <c r="D62" s="9">
        <v>50</v>
      </c>
      <c r="E62" s="9">
        <f>D62-J62</f>
        <v>50</v>
      </c>
      <c r="F62" s="10">
        <v>0.15</v>
      </c>
      <c r="G62" s="7"/>
      <c r="H62" s="4"/>
      <c r="I62" s="11">
        <f t="shared" si="3"/>
        <v>7.5</v>
      </c>
      <c r="J62" s="11">
        <v>0</v>
      </c>
      <c r="K62" s="4"/>
      <c r="L62" s="4" t="s">
        <v>58</v>
      </c>
      <c r="M62" s="17"/>
      <c r="N62" s="21"/>
      <c r="O62" s="21"/>
      <c r="P62" s="21"/>
      <c r="Q62" s="21"/>
      <c r="R62" s="21"/>
      <c r="S62" s="21"/>
      <c r="T62" s="21"/>
      <c r="U62" s="21" t="s">
        <v>36</v>
      </c>
      <c r="V62" s="21" t="s">
        <v>36</v>
      </c>
      <c r="W62" s="21" t="s">
        <v>36</v>
      </c>
      <c r="X62" s="21" t="s">
        <v>36</v>
      </c>
      <c r="Y62" s="21" t="s">
        <v>36</v>
      </c>
      <c r="Z62" s="21" t="s">
        <v>36</v>
      </c>
      <c r="AA62" s="21" t="s">
        <v>36</v>
      </c>
      <c r="AB62" s="21" t="s">
        <v>36</v>
      </c>
      <c r="AC62" s="21" t="s">
        <v>36</v>
      </c>
      <c r="AD62" s="21" t="s">
        <v>36</v>
      </c>
      <c r="AE62" s="53"/>
    </row>
    <row r="63" spans="1:31" ht="14.25" customHeight="1" x14ac:dyDescent="0.25">
      <c r="A63" s="4">
        <v>194</v>
      </c>
      <c r="B63" s="7">
        <v>46162</v>
      </c>
      <c r="C63" s="26" t="str">
        <f>+VLOOKUP(A63,CLIENTES!$A$4:$B$487,2,FALSE)</f>
        <v>AHICHA KOLORES</v>
      </c>
      <c r="D63" s="9">
        <v>50</v>
      </c>
      <c r="E63" s="9">
        <f t="shared" ref="E63:E70" si="7">D63-J63</f>
        <v>50</v>
      </c>
      <c r="F63" s="10">
        <v>0.15</v>
      </c>
      <c r="G63" s="7"/>
      <c r="H63" s="4"/>
      <c r="I63" s="11">
        <f t="shared" si="3"/>
        <v>7.5</v>
      </c>
      <c r="J63" s="11">
        <v>0</v>
      </c>
      <c r="K63" s="4"/>
      <c r="L63" s="4" t="s">
        <v>58</v>
      </c>
      <c r="M63" s="17"/>
      <c r="N63" s="21"/>
      <c r="O63" s="21"/>
      <c r="P63" s="21"/>
      <c r="Q63" s="21"/>
      <c r="R63" s="21"/>
      <c r="S63" s="21"/>
      <c r="T63" s="21"/>
      <c r="U63" s="21" t="s">
        <v>36</v>
      </c>
      <c r="V63" s="21" t="s">
        <v>36</v>
      </c>
      <c r="W63" s="21" t="s">
        <v>36</v>
      </c>
      <c r="X63" s="21" t="s">
        <v>36</v>
      </c>
      <c r="Y63" s="21" t="s">
        <v>36</v>
      </c>
      <c r="Z63" s="21" t="s">
        <v>36</v>
      </c>
      <c r="AA63" s="21" t="s">
        <v>36</v>
      </c>
      <c r="AB63" s="21" t="s">
        <v>36</v>
      </c>
      <c r="AC63" s="21" t="s">
        <v>36</v>
      </c>
      <c r="AD63" s="21" t="s">
        <v>36</v>
      </c>
      <c r="AE63" s="53"/>
    </row>
    <row r="64" spans="1:31" ht="14.25" customHeight="1" x14ac:dyDescent="0.25">
      <c r="A64" s="4">
        <v>186</v>
      </c>
      <c r="B64" s="7">
        <v>46162</v>
      </c>
      <c r="C64" s="26" t="str">
        <f>+VLOOKUP(A64,CLIENTES!$A$4:$B$487,2,FALSE)</f>
        <v>JONY ARCHIVO</v>
      </c>
      <c r="D64" s="9">
        <v>100</v>
      </c>
      <c r="E64" s="9">
        <f t="shared" si="7"/>
        <v>100</v>
      </c>
      <c r="F64" s="10">
        <v>0.15</v>
      </c>
      <c r="G64" s="7"/>
      <c r="H64" s="4"/>
      <c r="I64" s="11">
        <f t="shared" si="3"/>
        <v>15</v>
      </c>
      <c r="J64" s="11">
        <v>0</v>
      </c>
      <c r="K64" s="4"/>
      <c r="L64" s="4" t="s">
        <v>58</v>
      </c>
      <c r="M64" s="17"/>
      <c r="N64" s="21"/>
      <c r="O64" s="21"/>
      <c r="P64" s="21"/>
      <c r="Q64" s="21"/>
      <c r="R64" s="21"/>
      <c r="S64" s="21"/>
      <c r="T64" s="21"/>
      <c r="U64" s="21" t="s">
        <v>36</v>
      </c>
      <c r="V64" s="21" t="s">
        <v>36</v>
      </c>
      <c r="W64" s="21" t="s">
        <v>36</v>
      </c>
      <c r="X64" s="21" t="s">
        <v>36</v>
      </c>
      <c r="Y64" s="21" t="s">
        <v>36</v>
      </c>
      <c r="Z64" s="21" t="s">
        <v>36</v>
      </c>
      <c r="AA64" s="21" t="s">
        <v>36</v>
      </c>
      <c r="AB64" s="21" t="s">
        <v>36</v>
      </c>
      <c r="AC64" s="21" t="s">
        <v>36</v>
      </c>
      <c r="AD64" s="21" t="s">
        <v>36</v>
      </c>
      <c r="AE64" s="53"/>
    </row>
    <row r="65" spans="1:31" ht="14.25" customHeight="1" x14ac:dyDescent="0.25">
      <c r="A65" s="4">
        <v>136</v>
      </c>
      <c r="B65" s="7">
        <v>46162</v>
      </c>
      <c r="C65" s="26" t="str">
        <f>+VLOOKUP(A65,CLIENTES!$A$4:$B$487,2,FALSE)</f>
        <v>JONY LACRUZ</v>
      </c>
      <c r="D65" s="9">
        <v>100</v>
      </c>
      <c r="E65" s="9">
        <f t="shared" si="7"/>
        <v>100</v>
      </c>
      <c r="F65" s="10">
        <v>0.15</v>
      </c>
      <c r="G65" s="7"/>
      <c r="H65" s="4"/>
      <c r="I65" s="11">
        <f t="shared" si="3"/>
        <v>15</v>
      </c>
      <c r="J65" s="11">
        <v>0</v>
      </c>
      <c r="K65" s="4"/>
      <c r="L65" s="4" t="s">
        <v>58</v>
      </c>
      <c r="M65" s="17"/>
      <c r="N65" s="21"/>
      <c r="O65" s="21"/>
      <c r="P65" s="21"/>
      <c r="Q65" s="21"/>
      <c r="R65" s="21"/>
      <c r="S65" s="21"/>
      <c r="T65" s="21"/>
      <c r="U65" s="21" t="s">
        <v>36</v>
      </c>
      <c r="V65" s="21" t="s">
        <v>36</v>
      </c>
      <c r="W65" s="21" t="s">
        <v>36</v>
      </c>
      <c r="X65" s="21" t="s">
        <v>36</v>
      </c>
      <c r="Y65" s="21" t="s">
        <v>36</v>
      </c>
      <c r="Z65" s="21" t="s">
        <v>36</v>
      </c>
      <c r="AA65" s="21" t="s">
        <v>36</v>
      </c>
      <c r="AB65" s="21" t="s">
        <v>36</v>
      </c>
      <c r="AC65" s="21" t="s">
        <v>36</v>
      </c>
      <c r="AD65" s="21" t="s">
        <v>36</v>
      </c>
      <c r="AE65" s="53"/>
    </row>
    <row r="66" spans="1:31" ht="14.25" customHeight="1" x14ac:dyDescent="0.25">
      <c r="A66" s="4">
        <v>192</v>
      </c>
      <c r="B66" s="7">
        <v>46163</v>
      </c>
      <c r="C66" s="26" t="str">
        <f>+VLOOKUP(A66,CLIENTES!$A$4:$B$487,2,FALSE)</f>
        <v>Pablo Dar</v>
      </c>
      <c r="D66" s="9">
        <v>310</v>
      </c>
      <c r="E66" s="9">
        <f t="shared" si="7"/>
        <v>310</v>
      </c>
      <c r="F66" s="10">
        <v>0.15</v>
      </c>
      <c r="G66" s="7"/>
      <c r="H66" s="4"/>
      <c r="I66" s="11">
        <f t="shared" si="3"/>
        <v>46.5</v>
      </c>
      <c r="J66" s="11">
        <v>0</v>
      </c>
      <c r="K66" s="4"/>
      <c r="L66" s="4" t="s">
        <v>245</v>
      </c>
      <c r="M66" s="17"/>
      <c r="N66" s="21"/>
      <c r="O66" s="21"/>
      <c r="P66" s="21"/>
      <c r="Q66" s="21"/>
      <c r="R66" s="21"/>
      <c r="S66" s="21"/>
      <c r="T66" s="21"/>
      <c r="U66" s="21" t="s">
        <v>36</v>
      </c>
      <c r="V66" s="21" t="s">
        <v>36</v>
      </c>
      <c r="W66" s="21" t="s">
        <v>36</v>
      </c>
      <c r="X66" s="21" t="s">
        <v>36</v>
      </c>
      <c r="Y66" s="21" t="s">
        <v>36</v>
      </c>
      <c r="Z66" s="21" t="s">
        <v>36</v>
      </c>
      <c r="AA66" s="21" t="s">
        <v>36</v>
      </c>
      <c r="AB66" s="21" t="s">
        <v>36</v>
      </c>
      <c r="AC66" s="21" t="s">
        <v>36</v>
      </c>
      <c r="AD66" s="21" t="s">
        <v>36</v>
      </c>
      <c r="AE66" s="53"/>
    </row>
    <row r="67" spans="1:31" ht="14.25" customHeight="1" x14ac:dyDescent="0.25">
      <c r="A67" s="4">
        <v>191</v>
      </c>
      <c r="B67" s="7">
        <v>46164</v>
      </c>
      <c r="C67" s="26" t="str">
        <f>+VLOOKUP(A67,CLIENTES!$A$4:$B$487,2,FALSE)</f>
        <v>Cristian Nieto</v>
      </c>
      <c r="D67" s="9">
        <v>250</v>
      </c>
      <c r="E67" s="9">
        <f t="shared" si="7"/>
        <v>250</v>
      </c>
      <c r="F67" s="10">
        <v>0.15</v>
      </c>
      <c r="G67" s="7"/>
      <c r="H67" s="4" t="s">
        <v>247</v>
      </c>
      <c r="I67" s="11">
        <f t="shared" si="3"/>
        <v>37.5</v>
      </c>
      <c r="J67" s="11">
        <v>0</v>
      </c>
      <c r="K67" s="4"/>
      <c r="L67" s="4" t="s">
        <v>246</v>
      </c>
      <c r="M67" s="17"/>
      <c r="N67" s="21"/>
      <c r="O67" s="21"/>
      <c r="P67" s="21"/>
      <c r="Q67" s="21"/>
      <c r="R67" s="21"/>
      <c r="S67" s="21"/>
      <c r="T67" s="21"/>
      <c r="U67" s="21" t="s">
        <v>36</v>
      </c>
      <c r="V67" s="21" t="s">
        <v>36</v>
      </c>
      <c r="W67" s="21" t="s">
        <v>36</v>
      </c>
      <c r="X67" s="21" t="s">
        <v>36</v>
      </c>
      <c r="Y67" s="21" t="s">
        <v>36</v>
      </c>
      <c r="Z67" s="21" t="s">
        <v>36</v>
      </c>
      <c r="AA67" s="21" t="s">
        <v>36</v>
      </c>
      <c r="AB67" s="21" t="s">
        <v>36</v>
      </c>
      <c r="AC67" s="21" t="s">
        <v>36</v>
      </c>
      <c r="AD67" s="21" t="s">
        <v>36</v>
      </c>
      <c r="AE67" s="53"/>
    </row>
    <row r="68" spans="1:31" ht="14.25" customHeight="1" x14ac:dyDescent="0.25">
      <c r="A68" s="4"/>
      <c r="B68" s="7"/>
      <c r="C68" s="26" t="e">
        <f>+VLOOKUP(A68,CLIENTES!$A$4:$B$487,2,FALSE)</f>
        <v>#N/A</v>
      </c>
      <c r="D68" s="9">
        <v>0</v>
      </c>
      <c r="E68" s="9">
        <f t="shared" si="7"/>
        <v>0</v>
      </c>
      <c r="F68" s="10">
        <v>0.15</v>
      </c>
      <c r="G68" s="7"/>
      <c r="H68" s="4"/>
      <c r="I68" s="11">
        <f t="shared" si="3"/>
        <v>0</v>
      </c>
      <c r="J68" s="11">
        <v>0</v>
      </c>
      <c r="K68" s="4"/>
      <c r="L68" s="4"/>
      <c r="M68" s="17"/>
      <c r="N68" s="21"/>
      <c r="O68" s="21"/>
      <c r="P68" s="21"/>
      <c r="Q68" s="21"/>
      <c r="R68" s="21"/>
      <c r="S68" s="21"/>
      <c r="T68" s="21"/>
      <c r="U68" s="21" t="s">
        <v>36</v>
      </c>
      <c r="V68" s="21" t="s">
        <v>36</v>
      </c>
      <c r="W68" s="21" t="s">
        <v>36</v>
      </c>
      <c r="X68" s="21" t="s">
        <v>36</v>
      </c>
      <c r="Y68" s="21" t="s">
        <v>36</v>
      </c>
      <c r="Z68" s="21" t="s">
        <v>36</v>
      </c>
      <c r="AA68" s="21" t="s">
        <v>36</v>
      </c>
      <c r="AB68" s="21" t="s">
        <v>36</v>
      </c>
      <c r="AC68" s="21" t="s">
        <v>36</v>
      </c>
      <c r="AD68" s="21" t="s">
        <v>36</v>
      </c>
      <c r="AE68" s="53"/>
    </row>
    <row r="69" spans="1:31" ht="14.25" customHeight="1" x14ac:dyDescent="0.25">
      <c r="A69" s="4"/>
      <c r="B69" s="7"/>
      <c r="C69" s="26" t="e">
        <f>+VLOOKUP(A69,CLIENTES!$A$4:$B$487,2,FALSE)</f>
        <v>#N/A</v>
      </c>
      <c r="D69" s="9">
        <v>0</v>
      </c>
      <c r="E69" s="9">
        <v>0</v>
      </c>
      <c r="F69" s="10">
        <v>0.15</v>
      </c>
      <c r="G69" s="7"/>
      <c r="H69" s="4"/>
      <c r="I69" s="11">
        <f t="shared" si="3"/>
        <v>0</v>
      </c>
      <c r="J69" s="11">
        <v>1</v>
      </c>
      <c r="K69" s="4"/>
      <c r="L69" s="4"/>
      <c r="M69" s="17"/>
      <c r="N69" s="21"/>
      <c r="O69" s="21"/>
      <c r="P69" s="21"/>
      <c r="Q69" s="21"/>
      <c r="R69" s="21"/>
      <c r="S69" s="21"/>
      <c r="T69" s="21"/>
      <c r="U69" s="21" t="s">
        <v>36</v>
      </c>
      <c r="V69" s="21" t="s">
        <v>36</v>
      </c>
      <c r="W69" s="21" t="s">
        <v>36</v>
      </c>
      <c r="X69" s="21" t="s">
        <v>36</v>
      </c>
      <c r="Y69" s="21" t="s">
        <v>36</v>
      </c>
      <c r="Z69" s="21" t="s">
        <v>36</v>
      </c>
      <c r="AA69" s="21" t="s">
        <v>36</v>
      </c>
      <c r="AB69" s="21" t="s">
        <v>36</v>
      </c>
      <c r="AC69" s="21" t="s">
        <v>36</v>
      </c>
      <c r="AD69" s="21" t="s">
        <v>36</v>
      </c>
      <c r="AE69" s="53"/>
    </row>
    <row r="70" spans="1:31" ht="15" customHeight="1" x14ac:dyDescent="0.25">
      <c r="A70" s="4"/>
      <c r="B70" s="7"/>
      <c r="C70" s="26" t="e">
        <f>+VLOOKUP(A70,CLIENTES!$A$4:$B$487,2,FALSE)</f>
        <v>#N/A</v>
      </c>
      <c r="D70" s="9">
        <v>0</v>
      </c>
      <c r="E70" s="9">
        <f t="shared" si="7"/>
        <v>0</v>
      </c>
      <c r="F70" s="10">
        <v>0.15</v>
      </c>
      <c r="G70" s="7"/>
      <c r="H70" s="4"/>
      <c r="I70" s="11">
        <f t="shared" si="3"/>
        <v>0</v>
      </c>
      <c r="J70" s="11">
        <v>0</v>
      </c>
      <c r="K70" s="4"/>
      <c r="L70" s="4"/>
      <c r="M70" s="17"/>
      <c r="N70" s="21" t="s">
        <v>36</v>
      </c>
      <c r="O70" s="21" t="s">
        <v>36</v>
      </c>
      <c r="P70" s="21" t="s">
        <v>36</v>
      </c>
      <c r="Q70" s="21" t="s">
        <v>36</v>
      </c>
      <c r="R70" s="21" t="s">
        <v>36</v>
      </c>
      <c r="S70" s="21" t="s">
        <v>36</v>
      </c>
      <c r="T70" s="21" t="s">
        <v>36</v>
      </c>
      <c r="U70" s="21" t="s">
        <v>36</v>
      </c>
      <c r="V70" s="21" t="s">
        <v>36</v>
      </c>
      <c r="W70" s="21" t="s">
        <v>36</v>
      </c>
      <c r="X70" s="21" t="s">
        <v>36</v>
      </c>
      <c r="Y70" s="21" t="s">
        <v>36</v>
      </c>
      <c r="Z70" s="21" t="s">
        <v>36</v>
      </c>
      <c r="AA70" s="21" t="s">
        <v>36</v>
      </c>
      <c r="AB70" s="21" t="s">
        <v>36</v>
      </c>
      <c r="AC70" s="21" t="s">
        <v>36</v>
      </c>
      <c r="AD70" s="21" t="s">
        <v>36</v>
      </c>
      <c r="AE70" s="53"/>
    </row>
    <row r="71" spans="1:31" ht="15.75" customHeight="1" x14ac:dyDescent="0.25">
      <c r="A71" s="17"/>
      <c r="B71" s="17"/>
      <c r="C71" s="17"/>
      <c r="D71" s="27"/>
      <c r="E71" s="9">
        <f t="shared" si="6"/>
        <v>0</v>
      </c>
      <c r="F71" s="17"/>
      <c r="G71" s="17"/>
      <c r="H71" s="17"/>
      <c r="I71" s="11">
        <f t="shared" si="3"/>
        <v>0</v>
      </c>
      <c r="J71" s="11">
        <v>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31" ht="15.75" customHeight="1" x14ac:dyDescent="0.25">
      <c r="A72" s="87" t="s">
        <v>62</v>
      </c>
      <c r="B72" s="82"/>
      <c r="C72" s="17"/>
      <c r="D72" s="27"/>
      <c r="E72" s="27">
        <f>SUM(E5:E71)</f>
        <v>13888.65</v>
      </c>
      <c r="F72" s="17"/>
      <c r="G72" s="17"/>
      <c r="H72" s="17"/>
      <c r="I72" s="28">
        <f>SUM(I5:I70)</f>
        <v>1770.4974999999999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31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31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31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31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31" ht="39.75" customHeight="1" x14ac:dyDescent="0.25"/>
    <row r="78" spans="1:31" ht="15.75" customHeight="1" x14ac:dyDescent="0.25">
      <c r="A78" s="87" t="s">
        <v>62</v>
      </c>
      <c r="B78" s="82"/>
      <c r="C78" s="28"/>
      <c r="I78" s="17"/>
    </row>
    <row r="79" spans="1:31" ht="15.75" customHeight="1" x14ac:dyDescent="0.25">
      <c r="A79" s="81" t="s">
        <v>63</v>
      </c>
      <c r="B79" s="82"/>
      <c r="C79" s="28" t="s">
        <v>46</v>
      </c>
    </row>
    <row r="80" spans="1:31" ht="15.75" customHeight="1" x14ac:dyDescent="0.25"/>
    <row r="81" spans="7:7" ht="15.75" customHeight="1" x14ac:dyDescent="0.25"/>
    <row r="82" spans="7:7" ht="15.75" customHeight="1" x14ac:dyDescent="0.25"/>
    <row r="83" spans="7:7" ht="15.75" customHeight="1" x14ac:dyDescent="0.25">
      <c r="G83" t="s">
        <v>236</v>
      </c>
    </row>
    <row r="84" spans="7:7" ht="15.75" customHeight="1" x14ac:dyDescent="0.25"/>
    <row r="85" spans="7:7" ht="15.75" customHeight="1" x14ac:dyDescent="0.25"/>
    <row r="86" spans="7:7" ht="15.75" customHeight="1" x14ac:dyDescent="0.25"/>
    <row r="87" spans="7:7" ht="15.75" customHeight="1" x14ac:dyDescent="0.25"/>
    <row r="88" spans="7:7" ht="15.75" customHeight="1" x14ac:dyDescent="0.25"/>
    <row r="89" spans="7:7" ht="15.75" customHeight="1" x14ac:dyDescent="0.25"/>
    <row r="90" spans="7:7" ht="15.75" customHeight="1" x14ac:dyDescent="0.25"/>
    <row r="91" spans="7:7" ht="15.75" customHeight="1" x14ac:dyDescent="0.25"/>
    <row r="92" spans="7:7" ht="15.75" customHeight="1" x14ac:dyDescent="0.25"/>
    <row r="93" spans="7:7" ht="15.75" customHeight="1" x14ac:dyDescent="0.25"/>
    <row r="94" spans="7:7" ht="15.75" customHeight="1" x14ac:dyDescent="0.25"/>
    <row r="95" spans="7:7" ht="15.75" customHeight="1" x14ac:dyDescent="0.25"/>
    <row r="96" spans="7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6">
    <mergeCell ref="A79:B79"/>
    <mergeCell ref="A1:U2"/>
    <mergeCell ref="A3:J3"/>
    <mergeCell ref="N3:X3"/>
    <mergeCell ref="A72:B72"/>
    <mergeCell ref="A78:B7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topLeftCell="A77" workbookViewId="0">
      <selection activeCell="B132" sqref="B132"/>
    </sheetView>
  </sheetViews>
  <sheetFormatPr defaultColWidth="14.42578125" defaultRowHeight="15" customHeight="1" x14ac:dyDescent="0.25"/>
  <cols>
    <col min="1" max="1" width="10.7109375" customWidth="1"/>
    <col min="2" max="2" width="28.5703125" customWidth="1"/>
    <col min="3" max="3" width="13.5703125" customWidth="1"/>
    <col min="4" max="4" width="15.140625" customWidth="1"/>
    <col min="5" max="5" width="36.5703125" customWidth="1"/>
    <col min="6" max="6" width="36.7109375" customWidth="1"/>
    <col min="7" max="7" width="17.28515625" customWidth="1"/>
    <col min="8" max="26" width="10.7109375" customWidth="1"/>
  </cols>
  <sheetData>
    <row r="1" spans="1:26" x14ac:dyDescent="0.25">
      <c r="A1" s="88" t="s">
        <v>64</v>
      </c>
      <c r="B1" s="89"/>
      <c r="C1" s="89"/>
      <c r="D1" s="89"/>
      <c r="E1" s="89"/>
      <c r="F1" s="89"/>
      <c r="G1" s="90"/>
    </row>
    <row r="3" spans="1:26" x14ac:dyDescent="0.25">
      <c r="A3" s="29" t="s">
        <v>65</v>
      </c>
      <c r="B3" s="29" t="s">
        <v>66</v>
      </c>
      <c r="C3" s="29" t="s">
        <v>67</v>
      </c>
      <c r="D3" s="29" t="s">
        <v>68</v>
      </c>
      <c r="E3" s="29" t="s">
        <v>69</v>
      </c>
      <c r="F3" s="29" t="s">
        <v>70</v>
      </c>
      <c r="G3" s="29" t="s">
        <v>71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>
        <v>101</v>
      </c>
      <c r="B4" s="4" t="s">
        <v>72</v>
      </c>
      <c r="C4" s="4"/>
      <c r="D4" s="4">
        <v>4120747332</v>
      </c>
      <c r="E4" s="4"/>
      <c r="F4" s="4" t="s">
        <v>73</v>
      </c>
      <c r="G4" s="4" t="s">
        <v>74</v>
      </c>
    </row>
    <row r="5" spans="1:26" x14ac:dyDescent="0.25">
      <c r="A5" s="4">
        <v>102</v>
      </c>
      <c r="B5" s="4" t="s">
        <v>75</v>
      </c>
      <c r="C5" s="4"/>
      <c r="D5" s="4">
        <v>4262121346</v>
      </c>
      <c r="E5" s="4"/>
      <c r="F5" s="4" t="s">
        <v>76</v>
      </c>
      <c r="G5" s="4" t="s">
        <v>77</v>
      </c>
    </row>
    <row r="6" spans="1:26" x14ac:dyDescent="0.25">
      <c r="A6" s="4">
        <v>103</v>
      </c>
      <c r="B6" s="4" t="s">
        <v>78</v>
      </c>
      <c r="C6" s="4"/>
      <c r="D6" s="4">
        <v>4147077056</v>
      </c>
      <c r="E6" s="4"/>
      <c r="F6" s="4" t="s">
        <v>79</v>
      </c>
      <c r="G6" s="4" t="s">
        <v>74</v>
      </c>
    </row>
    <row r="7" spans="1:26" x14ac:dyDescent="0.25">
      <c r="A7" s="4">
        <v>104</v>
      </c>
      <c r="B7" s="4" t="s">
        <v>80</v>
      </c>
      <c r="C7" s="4"/>
      <c r="D7" s="4">
        <v>4149743408</v>
      </c>
      <c r="E7" s="4"/>
      <c r="F7" s="4" t="s">
        <v>81</v>
      </c>
      <c r="G7" s="4" t="s">
        <v>82</v>
      </c>
    </row>
    <row r="8" spans="1:26" x14ac:dyDescent="0.25">
      <c r="A8" s="4">
        <v>105</v>
      </c>
      <c r="B8" s="4" t="s">
        <v>83</v>
      </c>
      <c r="C8" s="4"/>
      <c r="D8" s="4">
        <v>4247401646</v>
      </c>
      <c r="E8" s="4"/>
      <c r="F8" s="4" t="s">
        <v>84</v>
      </c>
      <c r="G8" s="4" t="s">
        <v>85</v>
      </c>
    </row>
    <row r="9" spans="1:26" x14ac:dyDescent="0.25">
      <c r="A9" s="4">
        <v>106</v>
      </c>
      <c r="B9" s="4" t="s">
        <v>86</v>
      </c>
      <c r="C9" s="4"/>
      <c r="D9" s="4">
        <v>4147455545</v>
      </c>
      <c r="E9" s="4"/>
      <c r="F9" s="4" t="s">
        <v>73</v>
      </c>
      <c r="G9" s="4" t="s">
        <v>74</v>
      </c>
    </row>
    <row r="10" spans="1:26" x14ac:dyDescent="0.25">
      <c r="A10" s="4">
        <v>107</v>
      </c>
      <c r="B10" s="4" t="s">
        <v>87</v>
      </c>
      <c r="C10" s="4"/>
      <c r="D10" s="4">
        <v>4147237571</v>
      </c>
      <c r="E10" s="4"/>
      <c r="F10" s="4" t="s">
        <v>88</v>
      </c>
      <c r="G10" s="4" t="s">
        <v>74</v>
      </c>
    </row>
    <row r="11" spans="1:26" x14ac:dyDescent="0.25">
      <c r="A11" s="4">
        <v>108</v>
      </c>
      <c r="B11" s="4" t="s">
        <v>89</v>
      </c>
      <c r="C11" s="4"/>
      <c r="D11" s="4">
        <v>4145310101</v>
      </c>
      <c r="E11" s="4"/>
      <c r="F11" s="4" t="s">
        <v>90</v>
      </c>
      <c r="G11" s="4" t="s">
        <v>74</v>
      </c>
    </row>
    <row r="12" spans="1:26" x14ac:dyDescent="0.25">
      <c r="A12" s="4">
        <v>109</v>
      </c>
      <c r="B12" s="4" t="s">
        <v>91</v>
      </c>
      <c r="C12" s="4">
        <v>19048430</v>
      </c>
      <c r="D12" s="4">
        <v>4261780802</v>
      </c>
      <c r="E12" s="4"/>
      <c r="F12" s="4" t="s">
        <v>90</v>
      </c>
      <c r="G12" s="4" t="s">
        <v>92</v>
      </c>
    </row>
    <row r="13" spans="1:26" x14ac:dyDescent="0.25">
      <c r="A13" s="4">
        <v>110</v>
      </c>
      <c r="B13" s="4" t="s">
        <v>93</v>
      </c>
      <c r="C13" s="4"/>
      <c r="D13" s="4">
        <v>4247644073</v>
      </c>
      <c r="E13" s="4"/>
      <c r="F13" s="4" t="s">
        <v>94</v>
      </c>
      <c r="G13" s="4" t="s">
        <v>74</v>
      </c>
    </row>
    <row r="14" spans="1:26" x14ac:dyDescent="0.25">
      <c r="A14" s="4">
        <v>111</v>
      </c>
      <c r="B14" s="4" t="s">
        <v>95</v>
      </c>
      <c r="C14" s="4"/>
      <c r="D14" s="4">
        <v>4247612703</v>
      </c>
      <c r="E14" s="4"/>
      <c r="F14" s="4" t="s">
        <v>96</v>
      </c>
      <c r="G14" s="4" t="s">
        <v>74</v>
      </c>
    </row>
    <row r="15" spans="1:26" x14ac:dyDescent="0.25">
      <c r="A15" s="4">
        <v>112</v>
      </c>
      <c r="B15" s="4" t="s">
        <v>97</v>
      </c>
      <c r="C15" s="4">
        <v>26749824</v>
      </c>
      <c r="D15" s="4">
        <v>4162797147</v>
      </c>
      <c r="E15" s="4"/>
      <c r="F15" s="4" t="s">
        <v>94</v>
      </c>
      <c r="G15" s="4" t="s">
        <v>98</v>
      </c>
    </row>
    <row r="16" spans="1:26" x14ac:dyDescent="0.25">
      <c r="A16" s="4">
        <v>113</v>
      </c>
      <c r="B16" s="4" t="s">
        <v>99</v>
      </c>
      <c r="C16" s="4"/>
      <c r="D16" s="4">
        <v>4127985171</v>
      </c>
      <c r="E16" s="4"/>
      <c r="F16" s="4" t="s">
        <v>88</v>
      </c>
      <c r="G16" s="4" t="s">
        <v>74</v>
      </c>
    </row>
    <row r="17" spans="1:26" x14ac:dyDescent="0.25">
      <c r="A17" s="4">
        <v>114</v>
      </c>
      <c r="B17" s="4" t="s">
        <v>100</v>
      </c>
      <c r="C17" s="4"/>
      <c r="D17" s="4">
        <v>4147352473</v>
      </c>
      <c r="E17" s="4"/>
      <c r="F17" s="4" t="s">
        <v>101</v>
      </c>
      <c r="G17" s="4" t="s">
        <v>74</v>
      </c>
    </row>
    <row r="18" spans="1:26" x14ac:dyDescent="0.25">
      <c r="A18" s="4">
        <v>115</v>
      </c>
      <c r="B18" s="4" t="s">
        <v>102</v>
      </c>
      <c r="C18" s="4"/>
      <c r="D18" s="4">
        <v>4149380034</v>
      </c>
      <c r="E18" s="4"/>
      <c r="F18" s="4" t="s">
        <v>73</v>
      </c>
      <c r="G18" s="4" t="s">
        <v>74</v>
      </c>
    </row>
    <row r="19" spans="1:26" ht="16.5" customHeight="1" x14ac:dyDescent="0.25">
      <c r="A19" s="4">
        <v>116</v>
      </c>
      <c r="B19" s="4" t="s">
        <v>98</v>
      </c>
      <c r="C19" s="4"/>
      <c r="D19" s="4">
        <v>4120788399</v>
      </c>
      <c r="E19" s="4"/>
      <c r="F19" s="4" t="s">
        <v>103</v>
      </c>
      <c r="G19" s="4" t="s">
        <v>74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x14ac:dyDescent="0.25">
      <c r="A20" s="4">
        <v>117</v>
      </c>
      <c r="B20" s="4" t="s">
        <v>104</v>
      </c>
      <c r="C20" s="4"/>
      <c r="D20" s="4">
        <v>4264468622</v>
      </c>
      <c r="E20" s="4"/>
      <c r="F20" s="4" t="s">
        <v>105</v>
      </c>
      <c r="G20" s="4" t="s">
        <v>77</v>
      </c>
    </row>
    <row r="21" spans="1:26" ht="15.75" customHeight="1" x14ac:dyDescent="0.25">
      <c r="A21" s="4">
        <v>118</v>
      </c>
      <c r="B21" s="4" t="s">
        <v>106</v>
      </c>
      <c r="C21" s="4"/>
      <c r="D21" s="4">
        <v>4120780922</v>
      </c>
      <c r="E21" s="4"/>
      <c r="F21" s="4" t="s">
        <v>107</v>
      </c>
      <c r="G21" s="4" t="s">
        <v>108</v>
      </c>
    </row>
    <row r="22" spans="1:26" ht="15.75" customHeight="1" x14ac:dyDescent="0.25">
      <c r="A22" s="4">
        <v>119</v>
      </c>
      <c r="B22" s="4" t="s">
        <v>109</v>
      </c>
      <c r="C22" s="4"/>
      <c r="D22" s="4">
        <v>4247439757</v>
      </c>
      <c r="E22" s="4"/>
      <c r="F22" s="4" t="s">
        <v>110</v>
      </c>
      <c r="G22" s="4" t="s">
        <v>108</v>
      </c>
    </row>
    <row r="23" spans="1:26" ht="15.75" customHeight="1" x14ac:dyDescent="0.25">
      <c r="A23" s="4">
        <v>120</v>
      </c>
      <c r="B23" s="4" t="s">
        <v>111</v>
      </c>
      <c r="C23" s="4"/>
      <c r="D23" s="4">
        <v>4247738514</v>
      </c>
      <c r="E23" s="4"/>
      <c r="F23" s="4" t="s">
        <v>112</v>
      </c>
      <c r="G23" s="4" t="s">
        <v>113</v>
      </c>
    </row>
    <row r="24" spans="1:26" ht="15.75" customHeight="1" x14ac:dyDescent="0.25">
      <c r="A24" s="4">
        <v>121</v>
      </c>
      <c r="B24" s="4" t="s">
        <v>114</v>
      </c>
      <c r="C24" s="4"/>
      <c r="D24" s="30">
        <v>4247557595</v>
      </c>
      <c r="E24" s="4"/>
      <c r="F24" s="4" t="s">
        <v>115</v>
      </c>
      <c r="G24" s="4" t="s">
        <v>116</v>
      </c>
    </row>
    <row r="25" spans="1:26" ht="15.75" customHeight="1" x14ac:dyDescent="0.25">
      <c r="A25" s="4">
        <v>122</v>
      </c>
      <c r="B25" s="4" t="s">
        <v>117</v>
      </c>
      <c r="C25" s="4">
        <v>17523212</v>
      </c>
      <c r="D25" s="4">
        <v>4168767228</v>
      </c>
      <c r="E25" s="4"/>
      <c r="F25" s="4" t="s">
        <v>81</v>
      </c>
      <c r="G25" s="4" t="s">
        <v>116</v>
      </c>
    </row>
    <row r="26" spans="1:26" ht="15.75" customHeight="1" x14ac:dyDescent="0.25">
      <c r="A26" s="4">
        <v>123</v>
      </c>
      <c r="B26" s="4" t="s">
        <v>118</v>
      </c>
      <c r="C26" s="4"/>
      <c r="D26" s="4">
        <v>4126461289</v>
      </c>
      <c r="E26" s="4"/>
      <c r="F26" s="4" t="s">
        <v>119</v>
      </c>
      <c r="G26" s="4" t="s">
        <v>77</v>
      </c>
    </row>
    <row r="27" spans="1:26" ht="15.75" customHeight="1" x14ac:dyDescent="0.25">
      <c r="A27" s="4">
        <v>124</v>
      </c>
      <c r="B27" s="4" t="s">
        <v>120</v>
      </c>
      <c r="C27" s="4"/>
      <c r="D27" s="4"/>
      <c r="E27" s="4"/>
      <c r="F27" s="4" t="s">
        <v>121</v>
      </c>
      <c r="G27" s="4" t="s">
        <v>122</v>
      </c>
    </row>
    <row r="28" spans="1:26" ht="15.75" customHeight="1" x14ac:dyDescent="0.25">
      <c r="A28" s="4">
        <v>125</v>
      </c>
      <c r="B28" s="4" t="s">
        <v>123</v>
      </c>
      <c r="C28" s="4"/>
      <c r="D28" s="4">
        <v>4127238782</v>
      </c>
      <c r="E28" s="4"/>
      <c r="F28" s="4" t="s">
        <v>115</v>
      </c>
      <c r="G28" s="4" t="s">
        <v>100</v>
      </c>
    </row>
    <row r="29" spans="1:26" ht="15.75" customHeight="1" x14ac:dyDescent="0.25">
      <c r="A29" s="4">
        <v>126</v>
      </c>
      <c r="B29" s="4" t="s">
        <v>124</v>
      </c>
      <c r="C29" s="4"/>
      <c r="D29" s="4">
        <v>5674756237</v>
      </c>
      <c r="E29" s="4"/>
      <c r="F29" s="4" t="s">
        <v>125</v>
      </c>
      <c r="G29" s="4" t="s">
        <v>126</v>
      </c>
    </row>
    <row r="30" spans="1:26" ht="15.75" customHeight="1" x14ac:dyDescent="0.25">
      <c r="A30" s="4">
        <v>127</v>
      </c>
      <c r="B30" s="4" t="s">
        <v>127</v>
      </c>
      <c r="C30" s="4"/>
      <c r="D30" s="4"/>
      <c r="E30" s="4"/>
      <c r="F30" s="4" t="s">
        <v>128</v>
      </c>
      <c r="G30" s="4" t="s">
        <v>100</v>
      </c>
    </row>
    <row r="31" spans="1:26" ht="15.75" customHeight="1" x14ac:dyDescent="0.25">
      <c r="A31" s="4">
        <v>128</v>
      </c>
      <c r="B31" s="4" t="s">
        <v>129</v>
      </c>
      <c r="C31" s="4"/>
      <c r="D31" s="4">
        <v>4247327103</v>
      </c>
      <c r="E31" s="4"/>
      <c r="F31" s="4" t="s">
        <v>130</v>
      </c>
      <c r="G31" s="4" t="s">
        <v>126</v>
      </c>
    </row>
    <row r="32" spans="1:26" ht="15.75" customHeight="1" x14ac:dyDescent="0.25">
      <c r="A32" s="4">
        <v>129</v>
      </c>
      <c r="B32" s="4" t="s">
        <v>131</v>
      </c>
      <c r="C32" s="4"/>
      <c r="D32" s="4">
        <v>4121361910</v>
      </c>
      <c r="E32" s="4"/>
      <c r="F32" s="4" t="s">
        <v>132</v>
      </c>
      <c r="G32" s="4" t="s">
        <v>126</v>
      </c>
    </row>
    <row r="33" spans="1:26" ht="15.75" customHeight="1" x14ac:dyDescent="0.25">
      <c r="A33" s="4">
        <v>130</v>
      </c>
      <c r="B33" s="4" t="s">
        <v>133</v>
      </c>
      <c r="C33" s="4"/>
      <c r="D33" s="4">
        <v>4166427065</v>
      </c>
      <c r="E33" s="4"/>
      <c r="F33" s="4" t="s">
        <v>73</v>
      </c>
      <c r="G33" s="4" t="s">
        <v>126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4">
        <v>131</v>
      </c>
      <c r="B34" s="4" t="s">
        <v>134</v>
      </c>
      <c r="C34" s="4"/>
      <c r="D34" s="4">
        <v>4247070114</v>
      </c>
      <c r="E34" s="4"/>
      <c r="F34" s="4" t="s">
        <v>135</v>
      </c>
      <c r="G34" s="4" t="s">
        <v>114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4">
        <v>132</v>
      </c>
      <c r="B35" s="4" t="s">
        <v>136</v>
      </c>
      <c r="C35" s="4"/>
      <c r="D35" s="4"/>
      <c r="E35" s="4"/>
      <c r="F35" s="4" t="s">
        <v>84</v>
      </c>
      <c r="G35" s="4" t="s">
        <v>126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4">
        <v>133</v>
      </c>
      <c r="B36" s="4" t="s">
        <v>137</v>
      </c>
      <c r="C36" s="4"/>
      <c r="D36" s="4"/>
      <c r="E36" s="4"/>
      <c r="F36" s="4" t="s">
        <v>103</v>
      </c>
      <c r="G36" s="4" t="s">
        <v>98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4">
        <v>134</v>
      </c>
      <c r="B37" s="4" t="s">
        <v>138</v>
      </c>
      <c r="C37" s="4"/>
      <c r="D37" s="4">
        <v>4247284861</v>
      </c>
      <c r="E37" s="4"/>
      <c r="F37" s="4" t="s">
        <v>73</v>
      </c>
      <c r="G37" s="4" t="s">
        <v>108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4">
        <v>135</v>
      </c>
      <c r="B38" s="4" t="s">
        <v>139</v>
      </c>
      <c r="C38" s="4"/>
      <c r="D38" s="4" t="s">
        <v>140</v>
      </c>
      <c r="E38" s="4"/>
      <c r="F38" s="4" t="s">
        <v>73</v>
      </c>
      <c r="G38" s="4" t="s">
        <v>108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4">
        <v>136</v>
      </c>
      <c r="B39" s="4" t="s">
        <v>141</v>
      </c>
      <c r="C39" s="4"/>
      <c r="D39" s="4"/>
      <c r="E39" s="4"/>
      <c r="F39" s="4" t="s">
        <v>103</v>
      </c>
      <c r="G39" s="4" t="s">
        <v>108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4">
        <v>137</v>
      </c>
      <c r="B40" s="4" t="s">
        <v>142</v>
      </c>
      <c r="C40" s="4"/>
      <c r="D40" s="4"/>
      <c r="E40" s="4"/>
      <c r="F40" s="4" t="s">
        <v>73</v>
      </c>
      <c r="G40" s="4" t="s">
        <v>108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4">
        <v>138</v>
      </c>
      <c r="B41" s="4" t="s">
        <v>143</v>
      </c>
      <c r="C41" s="4"/>
      <c r="D41" s="4"/>
      <c r="E41" s="4"/>
      <c r="F41" s="4" t="s">
        <v>144</v>
      </c>
      <c r="G41" s="4" t="s">
        <v>108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4">
        <v>139</v>
      </c>
      <c r="B42" s="4" t="s">
        <v>145</v>
      </c>
      <c r="C42" s="4"/>
      <c r="D42" s="4"/>
      <c r="E42" s="4"/>
      <c r="F42" s="4" t="s">
        <v>81</v>
      </c>
      <c r="G42" s="4" t="s">
        <v>108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4">
        <v>140</v>
      </c>
      <c r="B43" s="4" t="s">
        <v>146</v>
      </c>
      <c r="C43" s="4"/>
      <c r="D43" s="4"/>
      <c r="E43" s="4"/>
      <c r="F43" s="4" t="s">
        <v>73</v>
      </c>
      <c r="G43" s="4" t="s">
        <v>108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4">
        <v>141</v>
      </c>
      <c r="B44" s="4" t="s">
        <v>147</v>
      </c>
      <c r="C44" s="4"/>
      <c r="D44" s="4"/>
      <c r="E44" s="4"/>
      <c r="F44" s="4" t="s">
        <v>148</v>
      </c>
      <c r="G44" s="4" t="s">
        <v>108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4">
        <v>142</v>
      </c>
      <c r="B45" s="4" t="s">
        <v>149</v>
      </c>
      <c r="C45" s="4"/>
      <c r="D45" s="4">
        <v>584247221854</v>
      </c>
      <c r="E45" s="4"/>
      <c r="F45" s="4" t="s">
        <v>113</v>
      </c>
      <c r="G45" s="4" t="s">
        <v>113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4">
        <v>143</v>
      </c>
      <c r="B46" s="4" t="s">
        <v>150</v>
      </c>
      <c r="C46" s="4"/>
      <c r="D46" s="4"/>
      <c r="E46" s="4"/>
      <c r="F46" s="4" t="s">
        <v>84</v>
      </c>
      <c r="G46" s="4" t="s">
        <v>108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4">
        <v>144</v>
      </c>
      <c r="B47" s="4" t="s">
        <v>151</v>
      </c>
      <c r="C47" s="4"/>
      <c r="D47" s="4">
        <v>4126849761</v>
      </c>
      <c r="E47" s="4"/>
      <c r="F47" s="4" t="s">
        <v>152</v>
      </c>
      <c r="G47" s="4" t="s">
        <v>152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4">
        <v>145</v>
      </c>
      <c r="B48" s="4" t="s">
        <v>153</v>
      </c>
      <c r="C48" s="4"/>
      <c r="D48" s="4"/>
      <c r="E48" s="4"/>
      <c r="F48" s="4" t="s">
        <v>103</v>
      </c>
      <c r="G48" s="4" t="s">
        <v>103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4">
        <v>146</v>
      </c>
      <c r="B49" s="4" t="s">
        <v>154</v>
      </c>
      <c r="C49" s="4"/>
      <c r="D49" s="4"/>
      <c r="E49" s="4"/>
      <c r="F49" s="4" t="s">
        <v>73</v>
      </c>
      <c r="G49" s="4" t="s">
        <v>108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4">
        <v>147</v>
      </c>
      <c r="B50" s="4" t="s">
        <v>155</v>
      </c>
      <c r="C50" s="4"/>
      <c r="D50" s="4"/>
      <c r="E50" s="4"/>
      <c r="F50" s="4" t="s">
        <v>156</v>
      </c>
      <c r="G50" s="4" t="s">
        <v>156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4">
        <v>148</v>
      </c>
      <c r="B51" s="4" t="s">
        <v>157</v>
      </c>
      <c r="C51" s="4"/>
      <c r="D51" s="4"/>
      <c r="E51" s="4"/>
      <c r="F51" s="4" t="s">
        <v>158</v>
      </c>
      <c r="G51" s="4" t="s">
        <v>82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4">
        <v>149</v>
      </c>
      <c r="B52" s="4" t="s">
        <v>159</v>
      </c>
      <c r="C52" s="4"/>
      <c r="D52" s="4"/>
      <c r="E52" s="4"/>
      <c r="F52" s="4"/>
      <c r="G52" s="4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4">
        <v>150</v>
      </c>
      <c r="B53" s="4" t="s">
        <v>160</v>
      </c>
      <c r="C53" s="4"/>
      <c r="D53" s="4"/>
      <c r="E53" s="4"/>
      <c r="F53" s="4"/>
      <c r="G53" s="4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4">
        <v>151</v>
      </c>
      <c r="B54" s="4" t="s">
        <v>161</v>
      </c>
      <c r="C54" s="4"/>
      <c r="D54" s="4">
        <v>4247362240</v>
      </c>
      <c r="E54" s="4"/>
      <c r="F54" s="4" t="s">
        <v>162</v>
      </c>
      <c r="G54" s="4" t="s">
        <v>163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4">
        <v>152</v>
      </c>
      <c r="B55" s="46" t="s">
        <v>157</v>
      </c>
      <c r="C55" s="4"/>
      <c r="D55" s="4"/>
      <c r="E55" s="4"/>
      <c r="F55" s="4" t="s">
        <v>164</v>
      </c>
      <c r="G55" s="4" t="s">
        <v>82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4">
        <v>153</v>
      </c>
      <c r="B56" s="4" t="s">
        <v>165</v>
      </c>
      <c r="C56" s="4"/>
      <c r="D56" s="4">
        <v>4247490997</v>
      </c>
      <c r="E56" s="4"/>
      <c r="F56" s="4" t="s">
        <v>166</v>
      </c>
      <c r="G56" s="4" t="s">
        <v>167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4">
        <v>154</v>
      </c>
      <c r="B57" s="4" t="s">
        <v>168</v>
      </c>
      <c r="C57" s="4"/>
      <c r="D57" s="4"/>
      <c r="E57" s="4"/>
      <c r="F57" s="4" t="s">
        <v>74</v>
      </c>
      <c r="G57" s="4" t="s">
        <v>74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4">
        <v>155</v>
      </c>
      <c r="B58" s="4" t="s">
        <v>169</v>
      </c>
      <c r="C58" s="4"/>
      <c r="D58" s="4"/>
      <c r="E58" s="4"/>
      <c r="F58" s="4" t="s">
        <v>74</v>
      </c>
      <c r="G58" s="4" t="s">
        <v>74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4">
        <v>156</v>
      </c>
      <c r="B59" s="4" t="s">
        <v>170</v>
      </c>
      <c r="C59" s="4"/>
      <c r="D59" s="4"/>
      <c r="E59" s="4"/>
      <c r="F59" s="4" t="s">
        <v>74</v>
      </c>
      <c r="G59" s="4" t="s">
        <v>74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4">
        <v>157</v>
      </c>
      <c r="B60" s="4" t="s">
        <v>171</v>
      </c>
      <c r="C60" s="4"/>
      <c r="D60" s="4"/>
      <c r="E60" s="4"/>
      <c r="F60" s="4" t="s">
        <v>74</v>
      </c>
      <c r="G60" s="4" t="s">
        <v>74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4">
        <v>158</v>
      </c>
      <c r="B61" s="4" t="s">
        <v>172</v>
      </c>
      <c r="C61" s="4"/>
      <c r="D61" s="4"/>
      <c r="E61" s="4"/>
      <c r="F61" s="4"/>
      <c r="G61" s="4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4">
        <v>159</v>
      </c>
      <c r="B62" s="4" t="s">
        <v>173</v>
      </c>
      <c r="C62" s="4"/>
      <c r="D62" s="4"/>
      <c r="E62" s="4"/>
      <c r="F62" s="4"/>
      <c r="G62" s="4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4">
        <v>160</v>
      </c>
      <c r="B63" s="4" t="s">
        <v>174</v>
      </c>
      <c r="C63" s="4"/>
      <c r="D63" s="4">
        <v>4147425726</v>
      </c>
      <c r="E63" s="4" t="s">
        <v>175</v>
      </c>
      <c r="F63" s="4"/>
      <c r="G63" s="4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4">
        <v>161</v>
      </c>
      <c r="B64" s="4" t="s">
        <v>176</v>
      </c>
      <c r="C64" s="4"/>
      <c r="D64" s="4"/>
      <c r="E64" s="4"/>
      <c r="F64" s="4"/>
      <c r="G64" s="4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4">
        <v>163</v>
      </c>
      <c r="B65" s="4" t="s">
        <v>177</v>
      </c>
      <c r="C65" s="4"/>
      <c r="D65" s="4"/>
      <c r="E65" s="4"/>
      <c r="F65" s="4"/>
      <c r="G65" s="4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4">
        <v>164</v>
      </c>
      <c r="B66" s="4" t="s">
        <v>178</v>
      </c>
      <c r="C66" s="4"/>
      <c r="D66" s="4"/>
      <c r="E66" s="4"/>
      <c r="F66" s="4"/>
      <c r="G66" s="4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4">
        <v>165</v>
      </c>
      <c r="B67" s="4" t="s">
        <v>179</v>
      </c>
      <c r="C67" s="4"/>
      <c r="D67" s="4"/>
      <c r="E67" s="4"/>
      <c r="F67" s="4"/>
      <c r="G67" s="4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4">
        <v>166</v>
      </c>
      <c r="B68" s="4" t="s">
        <v>180</v>
      </c>
      <c r="C68" s="4"/>
      <c r="D68" s="4"/>
      <c r="E68" s="4"/>
      <c r="F68" s="4"/>
      <c r="G68" s="4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4">
        <v>167</v>
      </c>
      <c r="B69" s="4" t="s">
        <v>181</v>
      </c>
      <c r="C69" s="4"/>
      <c r="D69" s="4"/>
      <c r="E69" s="4"/>
      <c r="F69" s="4"/>
      <c r="G69" s="4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4">
        <v>168</v>
      </c>
      <c r="B70" s="4" t="s">
        <v>182</v>
      </c>
      <c r="C70" s="4"/>
      <c r="D70" s="4"/>
      <c r="E70" s="4"/>
      <c r="F70" s="4"/>
      <c r="G70" s="4" t="s">
        <v>110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4">
        <v>169</v>
      </c>
      <c r="B71" s="4" t="s">
        <v>183</v>
      </c>
      <c r="C71" s="4"/>
      <c r="D71" s="4"/>
      <c r="E71" s="4"/>
      <c r="F71" s="4"/>
      <c r="G71" s="4" t="s">
        <v>184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4">
        <v>170</v>
      </c>
      <c r="B72" s="4" t="s">
        <v>185</v>
      </c>
      <c r="C72" s="4"/>
      <c r="D72" s="4"/>
      <c r="E72" s="4"/>
      <c r="F72" s="4"/>
      <c r="G72" s="4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4">
        <v>171</v>
      </c>
      <c r="B73" s="4" t="s">
        <v>186</v>
      </c>
      <c r="C73" s="4"/>
      <c r="D73" s="4">
        <v>4247184481</v>
      </c>
      <c r="E73" s="4"/>
      <c r="F73" s="4"/>
      <c r="G73" s="4" t="s">
        <v>184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4">
        <v>172</v>
      </c>
      <c r="B74" s="4" t="s">
        <v>187</v>
      </c>
      <c r="C74" s="4"/>
      <c r="D74" s="4" t="s">
        <v>188</v>
      </c>
      <c r="E74" s="4"/>
      <c r="F74" s="4"/>
      <c r="G74" s="4" t="s">
        <v>189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4">
        <v>173</v>
      </c>
      <c r="B75" s="4" t="s">
        <v>35</v>
      </c>
      <c r="C75" s="4"/>
      <c r="D75" s="4" t="s">
        <v>190</v>
      </c>
      <c r="E75" s="4"/>
      <c r="F75" s="4"/>
      <c r="G75" s="4" t="s">
        <v>47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4">
        <v>174</v>
      </c>
      <c r="B76" s="4" t="s">
        <v>191</v>
      </c>
      <c r="C76" s="4"/>
      <c r="D76" s="4" t="s">
        <v>192</v>
      </c>
      <c r="E76" s="4"/>
      <c r="F76" s="4"/>
      <c r="G76" s="4" t="s">
        <v>193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4">
        <v>175</v>
      </c>
      <c r="B77" s="4" t="s">
        <v>194</v>
      </c>
      <c r="C77" s="4"/>
      <c r="D77" s="4"/>
      <c r="E77" s="4"/>
      <c r="F77" s="4"/>
      <c r="G77" s="4" t="s">
        <v>195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4">
        <v>176</v>
      </c>
      <c r="B78" s="4" t="s">
        <v>196</v>
      </c>
      <c r="C78" s="4" t="s">
        <v>197</v>
      </c>
      <c r="D78" s="4"/>
      <c r="E78" s="4"/>
      <c r="F78" s="4"/>
      <c r="G78" s="4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4">
        <v>177</v>
      </c>
      <c r="B79" s="4" t="s">
        <v>198</v>
      </c>
      <c r="C79" s="4"/>
      <c r="D79" s="4"/>
      <c r="E79" s="4"/>
      <c r="F79" s="4"/>
      <c r="G79" s="4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4">
        <v>178</v>
      </c>
      <c r="B80" s="4" t="s">
        <v>199</v>
      </c>
      <c r="C80" s="4"/>
      <c r="D80" s="4"/>
      <c r="E80" s="4"/>
      <c r="F80" s="4"/>
      <c r="G80" s="4"/>
    </row>
    <row r="81" spans="1:7" ht="15.75" customHeight="1" x14ac:dyDescent="0.25">
      <c r="A81" s="4">
        <v>179</v>
      </c>
      <c r="B81" s="4" t="s">
        <v>200</v>
      </c>
      <c r="C81" s="4"/>
      <c r="D81" s="4"/>
      <c r="E81" s="4"/>
      <c r="F81" s="4"/>
      <c r="G81" s="4"/>
    </row>
    <row r="82" spans="1:7" ht="15.75" customHeight="1" x14ac:dyDescent="0.25">
      <c r="A82" s="4">
        <v>180</v>
      </c>
      <c r="B82" s="4" t="s">
        <v>201</v>
      </c>
      <c r="C82" s="4"/>
      <c r="D82" s="4">
        <v>4149356682</v>
      </c>
      <c r="E82" s="4"/>
      <c r="F82" s="4"/>
      <c r="G82" s="4" t="s">
        <v>184</v>
      </c>
    </row>
    <row r="83" spans="1:7" ht="15.75" customHeight="1" x14ac:dyDescent="0.25">
      <c r="A83" s="4">
        <v>181</v>
      </c>
      <c r="B83" s="4" t="s">
        <v>202</v>
      </c>
      <c r="C83" s="4"/>
      <c r="D83" s="4">
        <v>4247912369</v>
      </c>
      <c r="E83" s="4"/>
      <c r="F83" s="4"/>
      <c r="G83" s="4" t="s">
        <v>203</v>
      </c>
    </row>
    <row r="84" spans="1:7" ht="15.75" customHeight="1" x14ac:dyDescent="0.25">
      <c r="A84" s="4">
        <v>182</v>
      </c>
      <c r="B84" s="4" t="s">
        <v>204</v>
      </c>
      <c r="C84" s="4"/>
      <c r="D84" s="4">
        <v>4147156073</v>
      </c>
      <c r="E84" s="4"/>
      <c r="F84" s="4"/>
      <c r="G84" s="4"/>
    </row>
    <row r="85" spans="1:7" ht="15.75" customHeight="1" x14ac:dyDescent="0.25">
      <c r="A85" s="4">
        <v>183</v>
      </c>
      <c r="B85" s="4" t="s">
        <v>224</v>
      </c>
      <c r="C85" s="4"/>
      <c r="D85" s="4"/>
      <c r="E85" s="4"/>
      <c r="F85" s="4"/>
      <c r="G85" s="4" t="s">
        <v>223</v>
      </c>
    </row>
    <row r="86" spans="1:7" ht="15.75" customHeight="1" x14ac:dyDescent="0.25">
      <c r="A86" s="4">
        <v>184</v>
      </c>
      <c r="B86" s="4" t="s">
        <v>225</v>
      </c>
      <c r="C86" s="4"/>
      <c r="D86" s="4"/>
      <c r="E86" s="4"/>
      <c r="F86" s="4"/>
      <c r="G86" s="4"/>
    </row>
    <row r="87" spans="1:7" ht="15.75" customHeight="1" x14ac:dyDescent="0.25">
      <c r="A87" s="4">
        <v>185</v>
      </c>
      <c r="B87" s="46" t="s">
        <v>226</v>
      </c>
      <c r="C87" s="4"/>
      <c r="D87" s="4" t="s">
        <v>227</v>
      </c>
      <c r="E87" s="4"/>
      <c r="F87" s="4"/>
      <c r="G87" s="4"/>
    </row>
    <row r="88" spans="1:7" ht="15.75" customHeight="1" x14ac:dyDescent="0.25">
      <c r="A88" s="4">
        <v>186</v>
      </c>
      <c r="B88" s="4" t="s">
        <v>230</v>
      </c>
      <c r="C88" s="4"/>
      <c r="D88" s="4"/>
      <c r="E88" s="4"/>
      <c r="F88" s="4"/>
      <c r="G88" s="4"/>
    </row>
    <row r="89" spans="1:7" ht="15.75" customHeight="1" x14ac:dyDescent="0.25">
      <c r="A89" s="4">
        <v>187</v>
      </c>
      <c r="B89" s="4" t="s">
        <v>231</v>
      </c>
      <c r="C89" s="4"/>
      <c r="D89" s="4"/>
      <c r="E89" s="4"/>
      <c r="F89" s="4"/>
      <c r="G89" s="4"/>
    </row>
    <row r="90" spans="1:7" ht="15.75" customHeight="1" x14ac:dyDescent="0.25">
      <c r="A90" s="4">
        <v>188</v>
      </c>
      <c r="B90" s="4" t="s">
        <v>232</v>
      </c>
      <c r="C90" s="4"/>
      <c r="D90" s="4"/>
      <c r="E90" s="4"/>
      <c r="F90" s="4"/>
      <c r="G90" s="4" t="s">
        <v>233</v>
      </c>
    </row>
    <row r="91" spans="1:7" ht="15.75" customHeight="1" x14ac:dyDescent="0.25">
      <c r="A91" s="4">
        <v>189</v>
      </c>
      <c r="B91" s="4" t="s">
        <v>234</v>
      </c>
      <c r="C91" s="4"/>
      <c r="D91" s="4"/>
      <c r="E91" s="4"/>
      <c r="F91" s="4"/>
      <c r="G91" s="4"/>
    </row>
    <row r="92" spans="1:7" ht="15.75" customHeight="1" x14ac:dyDescent="0.25">
      <c r="A92" s="4">
        <v>190</v>
      </c>
      <c r="B92" s="4" t="s">
        <v>235</v>
      </c>
      <c r="C92" s="4"/>
      <c r="D92" s="4"/>
      <c r="E92" s="4"/>
      <c r="F92" s="4"/>
      <c r="G92" s="4"/>
    </row>
    <row r="93" spans="1:7" ht="15.75" customHeight="1" x14ac:dyDescent="0.25">
      <c r="A93" s="4">
        <v>191</v>
      </c>
      <c r="B93" s="4" t="s">
        <v>237</v>
      </c>
      <c r="C93" s="4"/>
      <c r="D93" s="4">
        <v>422023668</v>
      </c>
      <c r="E93" s="4"/>
      <c r="F93" s="4"/>
      <c r="G93" s="4"/>
    </row>
    <row r="94" spans="1:7" ht="15.75" customHeight="1" x14ac:dyDescent="0.25">
      <c r="A94" s="4">
        <v>192</v>
      </c>
      <c r="B94" s="4" t="s">
        <v>238</v>
      </c>
      <c r="C94" s="4"/>
      <c r="D94" s="4"/>
      <c r="E94" s="4"/>
      <c r="F94" s="4"/>
      <c r="G94" s="4"/>
    </row>
    <row r="95" spans="1:7" ht="15.75" customHeight="1" x14ac:dyDescent="0.25">
      <c r="A95" s="4">
        <v>193</v>
      </c>
      <c r="B95" s="4" t="s">
        <v>239</v>
      </c>
      <c r="C95" s="4"/>
      <c r="D95" s="4" t="s">
        <v>240</v>
      </c>
      <c r="E95" s="4"/>
      <c r="F95" s="4"/>
      <c r="G95" s="4"/>
    </row>
    <row r="96" spans="1:7" ht="15.75" customHeight="1" x14ac:dyDescent="0.25">
      <c r="A96" s="4">
        <v>194</v>
      </c>
      <c r="B96" s="4" t="s">
        <v>244</v>
      </c>
      <c r="C96" s="4"/>
      <c r="D96" s="4"/>
      <c r="E96" s="4"/>
      <c r="F96" s="4"/>
      <c r="G96" s="4"/>
    </row>
    <row r="97" spans="1:7" ht="15.75" customHeight="1" x14ac:dyDescent="0.25">
      <c r="A97" s="4"/>
      <c r="B97" s="4"/>
      <c r="C97" s="4"/>
      <c r="D97" s="4"/>
      <c r="E97" s="4"/>
      <c r="F97" s="4"/>
      <c r="G97" s="4"/>
    </row>
    <row r="98" spans="1:7" ht="15.75" customHeight="1" x14ac:dyDescent="0.25">
      <c r="A98" s="4"/>
      <c r="B98" s="4"/>
      <c r="C98" s="4"/>
      <c r="D98" s="4"/>
      <c r="E98" s="4"/>
      <c r="F98" s="4"/>
      <c r="G98" s="4"/>
    </row>
    <row r="99" spans="1:7" ht="15.75" customHeight="1" x14ac:dyDescent="0.25">
      <c r="A99" s="4"/>
      <c r="B99" s="4"/>
      <c r="C99" s="4"/>
      <c r="D99" s="4"/>
      <c r="E99" s="4"/>
      <c r="F99" s="4"/>
      <c r="G99" s="4"/>
    </row>
    <row r="100" spans="1:7" ht="15.75" customHeight="1" x14ac:dyDescent="0.25"/>
    <row r="101" spans="1:7" ht="15.75" customHeight="1" x14ac:dyDescent="0.25"/>
    <row r="102" spans="1:7" ht="15.75" customHeight="1" x14ac:dyDescent="0.25"/>
    <row r="103" spans="1:7" ht="15.75" customHeight="1" x14ac:dyDescent="0.25"/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A1:G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24.42578125" customWidth="1"/>
    <col min="3" max="3" width="10.5703125" customWidth="1"/>
    <col min="4" max="26" width="10.7109375" customWidth="1"/>
  </cols>
  <sheetData>
    <row r="3" spans="1:26" ht="15" customHeight="1" x14ac:dyDescent="0.25">
      <c r="B3" s="91" t="s">
        <v>205</v>
      </c>
      <c r="C3" s="89"/>
      <c r="D3" s="89"/>
      <c r="E3" s="89"/>
      <c r="F3" s="89"/>
      <c r="G3" s="90"/>
    </row>
    <row r="4" spans="1:26" ht="15" customHeight="1" x14ac:dyDescent="0.25">
      <c r="B4" s="31" t="s">
        <v>206</v>
      </c>
      <c r="C4" s="32">
        <v>100</v>
      </c>
      <c r="D4" s="33">
        <v>50</v>
      </c>
      <c r="E4" s="33">
        <v>20</v>
      </c>
      <c r="F4" s="33">
        <v>10</v>
      </c>
      <c r="G4" s="34">
        <v>5</v>
      </c>
    </row>
    <row r="5" spans="1:26" ht="15" customHeight="1" x14ac:dyDescent="0.25">
      <c r="B5" s="35" t="s">
        <v>207</v>
      </c>
      <c r="C5" s="36">
        <v>10</v>
      </c>
      <c r="D5" s="37">
        <v>1</v>
      </c>
      <c r="E5" s="37">
        <v>20</v>
      </c>
      <c r="F5" s="37">
        <v>11</v>
      </c>
      <c r="G5" s="37">
        <v>7</v>
      </c>
    </row>
    <row r="6" spans="1:26" ht="15" customHeight="1" x14ac:dyDescent="0.25">
      <c r="B6" s="38" t="s">
        <v>208</v>
      </c>
      <c r="C6" s="39">
        <f t="shared" ref="C6:G6" si="0">C5*C4</f>
        <v>1000</v>
      </c>
      <c r="D6" s="40">
        <f t="shared" si="0"/>
        <v>50</v>
      </c>
      <c r="E6" s="40">
        <f t="shared" si="0"/>
        <v>400</v>
      </c>
      <c r="F6" s="40">
        <f t="shared" si="0"/>
        <v>110</v>
      </c>
      <c r="G6" s="40">
        <f t="shared" si="0"/>
        <v>35</v>
      </c>
      <c r="H6" s="27">
        <f>SUM(C6:G6)</f>
        <v>1595</v>
      </c>
    </row>
    <row r="7" spans="1:26" ht="15" customHeight="1" x14ac:dyDescent="0.25">
      <c r="B7" s="41" t="s">
        <v>209</v>
      </c>
      <c r="C7" s="39"/>
      <c r="D7" s="40"/>
      <c r="E7" s="40"/>
      <c r="F7" s="40"/>
      <c r="G7" s="40"/>
    </row>
    <row r="8" spans="1:26" ht="15" customHeight="1" x14ac:dyDescent="0.25">
      <c r="C8" s="27"/>
      <c r="D8" s="27"/>
      <c r="E8" s="27"/>
      <c r="F8" s="27"/>
      <c r="G8" s="27"/>
    </row>
    <row r="9" spans="1:26" ht="15" customHeight="1" x14ac:dyDescent="0.25">
      <c r="A9" s="17"/>
      <c r="B9" s="17" t="s">
        <v>210</v>
      </c>
      <c r="C9" s="27">
        <v>0</v>
      </c>
      <c r="D9" s="27" t="s">
        <v>205</v>
      </c>
      <c r="E9" s="27">
        <v>0</v>
      </c>
      <c r="F9" s="27"/>
      <c r="G9" s="2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25">
      <c r="C10" s="27"/>
      <c r="D10" s="27"/>
      <c r="E10" s="27"/>
      <c r="F10" s="27"/>
      <c r="G10" s="27"/>
    </row>
    <row r="11" spans="1:26" ht="15" customHeight="1" x14ac:dyDescent="0.25">
      <c r="B11" s="17" t="s">
        <v>211</v>
      </c>
      <c r="C11" s="27">
        <v>2890</v>
      </c>
      <c r="D11" s="27"/>
      <c r="E11" s="27" t="s">
        <v>212</v>
      </c>
      <c r="F11" s="27">
        <v>1800</v>
      </c>
      <c r="G11" s="27"/>
    </row>
    <row r="12" spans="1:26" ht="15" customHeight="1" x14ac:dyDescent="0.25">
      <c r="B12" s="17" t="s">
        <v>213</v>
      </c>
      <c r="C12" s="27">
        <f>C11-F11</f>
        <v>1090</v>
      </c>
      <c r="D12" s="27"/>
      <c r="E12" s="27"/>
      <c r="F12" s="27"/>
      <c r="G12" s="27"/>
    </row>
    <row r="13" spans="1:26" ht="15" customHeight="1" x14ac:dyDescent="0.25">
      <c r="K13" s="17"/>
    </row>
    <row r="15" spans="1:26" ht="15" customHeight="1" x14ac:dyDescent="0.25">
      <c r="B15" s="17" t="s">
        <v>214</v>
      </c>
    </row>
    <row r="16" spans="1:26" ht="15" customHeight="1" x14ac:dyDescent="0.25">
      <c r="B16" s="17" t="s">
        <v>205</v>
      </c>
      <c r="C16" s="17"/>
      <c r="D16" s="17"/>
      <c r="E16" s="17"/>
      <c r="F16" s="17"/>
      <c r="G16" s="17"/>
    </row>
    <row r="17" spans="2:9" ht="15" customHeight="1" x14ac:dyDescent="0.25">
      <c r="B17" s="17" t="s">
        <v>206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</row>
    <row r="18" spans="2:9" ht="15" customHeight="1" x14ac:dyDescent="0.25">
      <c r="B18" s="17" t="s">
        <v>207</v>
      </c>
      <c r="C18" s="42">
        <v>16</v>
      </c>
      <c r="D18" s="42">
        <v>0</v>
      </c>
      <c r="E18" s="42">
        <v>2</v>
      </c>
      <c r="F18" s="42">
        <v>0</v>
      </c>
      <c r="G18" s="42">
        <v>0</v>
      </c>
    </row>
    <row r="19" spans="2:9" ht="15" customHeight="1" x14ac:dyDescent="0.25">
      <c r="B19" s="17" t="s">
        <v>208</v>
      </c>
      <c r="C19" s="27">
        <f t="shared" ref="C19:G19" si="1">C18*C17</f>
        <v>0</v>
      </c>
      <c r="D19" s="27">
        <f t="shared" si="1"/>
        <v>0</v>
      </c>
      <c r="E19" s="27">
        <f t="shared" si="1"/>
        <v>0</v>
      </c>
      <c r="F19" s="27">
        <f t="shared" si="1"/>
        <v>0</v>
      </c>
      <c r="G19" s="27">
        <f t="shared" si="1"/>
        <v>0</v>
      </c>
    </row>
    <row r="20" spans="2:9" ht="15" customHeight="1" x14ac:dyDescent="0.25">
      <c r="B20" s="17" t="s">
        <v>209</v>
      </c>
      <c r="C20" s="27">
        <f>C19+D19+E19+F19+G19</f>
        <v>0</v>
      </c>
      <c r="D20" s="27"/>
      <c r="E20" s="27"/>
      <c r="F20" s="27"/>
      <c r="G20" s="27"/>
    </row>
    <row r="21" spans="2:9" ht="15" customHeight="1" x14ac:dyDescent="0.25">
      <c r="B21" s="17"/>
      <c r="C21" s="27"/>
      <c r="D21" s="27"/>
      <c r="E21" s="27"/>
      <c r="F21" s="27"/>
      <c r="G21" s="27"/>
    </row>
    <row r="22" spans="2:9" ht="15.75" customHeight="1" x14ac:dyDescent="0.25">
      <c r="B22" s="17" t="s">
        <v>215</v>
      </c>
      <c r="C22" s="27">
        <v>355</v>
      </c>
      <c r="D22" s="27"/>
      <c r="E22" s="27"/>
      <c r="F22" s="27"/>
      <c r="G22" s="27"/>
    </row>
    <row r="23" spans="2:9" ht="15.75" customHeight="1" x14ac:dyDescent="0.25">
      <c r="B23" s="17" t="s">
        <v>216</v>
      </c>
      <c r="C23" s="27"/>
      <c r="D23" s="27"/>
      <c r="E23" s="27"/>
      <c r="F23" s="27"/>
      <c r="G23" s="27"/>
    </row>
    <row r="24" spans="2:9" ht="15.75" customHeight="1" x14ac:dyDescent="0.25">
      <c r="B24" s="17" t="s">
        <v>217</v>
      </c>
      <c r="C24" s="27">
        <v>260</v>
      </c>
      <c r="D24" s="27"/>
      <c r="E24" s="27"/>
      <c r="F24" s="27"/>
      <c r="G24" s="27"/>
    </row>
    <row r="25" spans="2:9" ht="15.75" customHeight="1" x14ac:dyDescent="0.25">
      <c r="B25" s="17" t="s">
        <v>218</v>
      </c>
      <c r="C25" s="17">
        <v>60</v>
      </c>
    </row>
    <row r="26" spans="2:9" ht="15.75" customHeight="1" x14ac:dyDescent="0.25">
      <c r="B26" s="17" t="s">
        <v>219</v>
      </c>
      <c r="C26" s="17">
        <v>0</v>
      </c>
    </row>
    <row r="27" spans="2:9" ht="15.75" customHeight="1" x14ac:dyDescent="0.25"/>
    <row r="28" spans="2:9" ht="15.75" customHeight="1" x14ac:dyDescent="0.25"/>
    <row r="29" spans="2:9" ht="15.75" customHeight="1" x14ac:dyDescent="0.25">
      <c r="B29" s="17" t="s">
        <v>220</v>
      </c>
      <c r="C29" s="27">
        <f>C7+C22+C24+C25+C26</f>
        <v>675</v>
      </c>
      <c r="F29" s="17">
        <v>4</v>
      </c>
    </row>
    <row r="30" spans="2:9" ht="15.75" customHeight="1" x14ac:dyDescent="0.25"/>
    <row r="31" spans="2:9" ht="15.75" customHeight="1" x14ac:dyDescent="0.25"/>
    <row r="32" spans="2:9" ht="15.75" customHeight="1" x14ac:dyDescent="0.25">
      <c r="I32" s="17" t="s">
        <v>32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G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PRESTAMOS</vt:lpstr>
      <vt:lpstr>CLIENTES</vt:lpstr>
      <vt:lpstr>MANEJO CAPITALES Y EFECTIVO</vt:lpstr>
      <vt:lpstr>Hoja1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Csar</dc:creator>
  <cp:lastModifiedBy>Cesar Chourio</cp:lastModifiedBy>
  <cp:lastPrinted>2025-12-15T12:48:17Z</cp:lastPrinted>
  <dcterms:created xsi:type="dcterms:W3CDTF">2024-02-27T00:07:02Z</dcterms:created>
  <dcterms:modified xsi:type="dcterms:W3CDTF">2026-05-26T19:30:15Z</dcterms:modified>
</cp:coreProperties>
</file>