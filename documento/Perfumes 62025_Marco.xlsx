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G:\Mi unidad\Ventas\"/>
    </mc:Choice>
  </mc:AlternateContent>
  <xr:revisionPtr revIDLastSave="0" documentId="13_ncr:1_{E83EC2B9-ABD1-4578-A51D-D96946AEB66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ista de Precio " sheetId="1" r:id="rId1"/>
    <sheet name="Ventas" sheetId="3" r:id="rId2"/>
    <sheet name="CLIENTES" sheetId="4" r:id="rId3"/>
    <sheet name="Hoja1" sheetId="5" r:id="rId4"/>
    <sheet name="IMPRIMIR PRECIOS" sheetId="7" r:id="rId5"/>
    <sheet name="Hoja2" sheetId="8" r:id="rId6"/>
  </sheets>
  <definedNames>
    <definedName name="_xlnm._FilterDatabase" localSheetId="1" hidden="1">Ventas!$A$6:$P$80</definedName>
  </definedNames>
  <calcPr calcId="191029"/>
</workbook>
</file>

<file path=xl/calcChain.xml><?xml version="1.0" encoding="utf-8"?>
<calcChain xmlns="http://schemas.openxmlformats.org/spreadsheetml/2006/main">
  <c r="C247" i="3" l="1"/>
  <c r="C314" i="3" l="1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04" i="3"/>
  <c r="D3" i="7" l="1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2" i="7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179" i="1"/>
  <c r="D222" i="1"/>
  <c r="B222" i="1"/>
  <c r="E225" i="3"/>
  <c r="C212" i="3" l="1"/>
  <c r="E212" i="3"/>
  <c r="N212" i="3" s="1"/>
  <c r="C213" i="3"/>
  <c r="N213" i="3"/>
  <c r="C214" i="3"/>
  <c r="N214" i="3"/>
  <c r="C215" i="3"/>
  <c r="E215" i="3"/>
  <c r="N215" i="3" s="1"/>
  <c r="C216" i="3"/>
  <c r="N216" i="3"/>
  <c r="C217" i="3"/>
  <c r="N217" i="3"/>
  <c r="C218" i="3"/>
  <c r="E218" i="3"/>
  <c r="N218" i="3" s="1"/>
  <c r="C219" i="3"/>
  <c r="N219" i="3"/>
  <c r="C220" i="3"/>
  <c r="E220" i="3"/>
  <c r="N220" i="3" s="1"/>
  <c r="C221" i="3"/>
  <c r="E221" i="3"/>
  <c r="N221" i="3" s="1"/>
  <c r="C222" i="3"/>
  <c r="E222" i="3"/>
  <c r="N222" i="3" s="1"/>
  <c r="C223" i="3"/>
  <c r="E223" i="3"/>
  <c r="N223" i="3" s="1"/>
  <c r="C224" i="3"/>
  <c r="E224" i="3"/>
  <c r="N224" i="3" s="1"/>
  <c r="C225" i="3"/>
  <c r="N225" i="3"/>
  <c r="C226" i="3"/>
  <c r="E226" i="3"/>
  <c r="N226" i="3" s="1"/>
  <c r="C227" i="3"/>
  <c r="N227" i="3"/>
  <c r="C228" i="3"/>
  <c r="N228" i="3"/>
  <c r="C229" i="3"/>
  <c r="N229" i="3"/>
  <c r="C230" i="3"/>
  <c r="E230" i="3"/>
  <c r="N230" i="3" s="1"/>
  <c r="C231" i="3"/>
  <c r="N231" i="3"/>
  <c r="C232" i="3"/>
  <c r="N232" i="3"/>
  <c r="C233" i="3"/>
  <c r="N233" i="3"/>
  <c r="C234" i="3"/>
  <c r="E234" i="3"/>
  <c r="N234" i="3" s="1"/>
  <c r="C235" i="3"/>
  <c r="E235" i="3"/>
  <c r="N235" i="3" s="1"/>
  <c r="C236" i="3"/>
  <c r="E236" i="3"/>
  <c r="N236" i="3" s="1"/>
  <c r="C237" i="3"/>
  <c r="E237" i="3"/>
  <c r="N237" i="3" s="1"/>
  <c r="C238" i="3"/>
  <c r="E238" i="3"/>
  <c r="N238" i="3" s="1"/>
  <c r="C239" i="3"/>
  <c r="E239" i="3"/>
  <c r="N239" i="3" s="1"/>
  <c r="C240" i="3"/>
  <c r="E240" i="3"/>
  <c r="N240" i="3" s="1"/>
  <c r="C241" i="3"/>
  <c r="N241" i="3"/>
  <c r="C242" i="3"/>
  <c r="E242" i="3"/>
  <c r="N242" i="3" s="1"/>
  <c r="C243" i="3"/>
  <c r="E243" i="3"/>
  <c r="N243" i="3" s="1"/>
  <c r="C245" i="3"/>
  <c r="E245" i="3"/>
  <c r="N245" i="3" s="1"/>
  <c r="C246" i="3"/>
  <c r="N246" i="3"/>
  <c r="E247" i="3"/>
  <c r="N247" i="3" s="1"/>
  <c r="C248" i="3"/>
  <c r="E248" i="3"/>
  <c r="N248" i="3" s="1"/>
  <c r="C249" i="3"/>
  <c r="E249" i="3"/>
  <c r="N249" i="3" s="1"/>
  <c r="C250" i="3"/>
  <c r="E250" i="3"/>
  <c r="N250" i="3" s="1"/>
  <c r="C251" i="3"/>
  <c r="E251" i="3"/>
  <c r="N251" i="3" s="1"/>
  <c r="C252" i="3"/>
  <c r="E252" i="3"/>
  <c r="N252" i="3" s="1"/>
  <c r="C253" i="3"/>
  <c r="N253" i="3"/>
  <c r="C254" i="3"/>
  <c r="E254" i="3"/>
  <c r="N254" i="3" s="1"/>
  <c r="C255" i="3"/>
  <c r="N255" i="3"/>
  <c r="C256" i="3"/>
  <c r="E256" i="3"/>
  <c r="N256" i="3" s="1"/>
  <c r="C257" i="3"/>
  <c r="C258" i="3"/>
  <c r="C259" i="3"/>
  <c r="C260" i="3"/>
  <c r="C261" i="3"/>
  <c r="E261" i="3"/>
  <c r="N261" i="3" s="1"/>
  <c r="C262" i="3"/>
  <c r="N262" i="3"/>
  <c r="C263" i="3"/>
  <c r="E263" i="3"/>
  <c r="N263" i="3" s="1"/>
  <c r="C264" i="3"/>
  <c r="N264" i="3"/>
  <c r="C265" i="3"/>
  <c r="E265" i="3"/>
  <c r="N265" i="3" s="1"/>
  <c r="C266" i="3"/>
  <c r="E266" i="3"/>
  <c r="N266" i="3" s="1"/>
  <c r="C267" i="3"/>
  <c r="E267" i="3"/>
  <c r="N267" i="3" s="1"/>
  <c r="C268" i="3"/>
  <c r="E268" i="3"/>
  <c r="N268" i="3" s="1"/>
  <c r="C269" i="3"/>
  <c r="N269" i="3"/>
  <c r="C270" i="3"/>
  <c r="E270" i="3"/>
  <c r="N270" i="3" s="1"/>
  <c r="C271" i="3"/>
  <c r="N271" i="3"/>
  <c r="C272" i="3"/>
  <c r="E272" i="3"/>
  <c r="N272" i="3" s="1"/>
  <c r="C273" i="3"/>
  <c r="N273" i="3"/>
  <c r="C274" i="3"/>
  <c r="E274" i="3"/>
  <c r="N274" i="3" s="1"/>
  <c r="C275" i="3"/>
  <c r="E275" i="3"/>
  <c r="N275" i="3" s="1"/>
  <c r="C276" i="3"/>
  <c r="N276" i="3"/>
  <c r="C277" i="3"/>
  <c r="N277" i="3"/>
  <c r="C278" i="3"/>
  <c r="E278" i="3"/>
  <c r="N278" i="3" s="1"/>
  <c r="C279" i="3"/>
  <c r="N279" i="3"/>
  <c r="C280" i="3"/>
  <c r="N280" i="3"/>
  <c r="C281" i="3"/>
  <c r="E281" i="3"/>
  <c r="N281" i="3" s="1"/>
  <c r="C282" i="3"/>
  <c r="N282" i="3"/>
  <c r="C283" i="3"/>
  <c r="E283" i="3"/>
  <c r="N283" i="3" s="1"/>
  <c r="C284" i="3"/>
  <c r="E284" i="3"/>
  <c r="N284" i="3" s="1"/>
  <c r="C285" i="3"/>
  <c r="E285" i="3"/>
  <c r="N285" i="3" s="1"/>
  <c r="C286" i="3"/>
  <c r="E286" i="3"/>
  <c r="N286" i="3" s="1"/>
  <c r="C287" i="3"/>
  <c r="E287" i="3"/>
  <c r="N287" i="3" s="1"/>
  <c r="C288" i="3"/>
  <c r="N288" i="3"/>
  <c r="C289" i="3"/>
  <c r="N289" i="3"/>
  <c r="C290" i="3"/>
  <c r="E290" i="3"/>
  <c r="N290" i="3" s="1"/>
  <c r="C291" i="3"/>
  <c r="E291" i="3"/>
  <c r="N291" i="3" s="1"/>
  <c r="C292" i="3"/>
  <c r="N292" i="3"/>
  <c r="C293" i="3"/>
  <c r="N293" i="3"/>
  <c r="C294" i="3"/>
  <c r="E294" i="3"/>
  <c r="N294" i="3" s="1"/>
  <c r="C295" i="3"/>
  <c r="N295" i="3"/>
  <c r="C296" i="3"/>
  <c r="N296" i="3"/>
  <c r="C297" i="3"/>
  <c r="E297" i="3"/>
  <c r="N297" i="3" s="1"/>
  <c r="C298" i="3"/>
  <c r="N298" i="3"/>
  <c r="C299" i="3"/>
  <c r="N299" i="3"/>
  <c r="C300" i="3"/>
  <c r="N300" i="3"/>
  <c r="C301" i="3"/>
  <c r="N301" i="3"/>
  <c r="C302" i="3"/>
  <c r="N302" i="3"/>
  <c r="C303" i="3"/>
  <c r="E303" i="3"/>
  <c r="N303" i="3" s="1"/>
  <c r="N304" i="3"/>
  <c r="C305" i="3"/>
  <c r="E305" i="3"/>
  <c r="N305" i="3" s="1"/>
  <c r="C306" i="3"/>
  <c r="E306" i="3"/>
  <c r="N306" i="3" s="1"/>
  <c r="C307" i="3"/>
  <c r="E307" i="3"/>
  <c r="N307" i="3" s="1"/>
  <c r="C308" i="3"/>
  <c r="N308" i="3"/>
  <c r="C309" i="3"/>
  <c r="N309" i="3"/>
  <c r="C310" i="3"/>
  <c r="N310" i="3"/>
  <c r="C311" i="3"/>
  <c r="N311" i="3"/>
  <c r="C312" i="3"/>
  <c r="E312" i="3"/>
  <c r="N312" i="3" s="1"/>
  <c r="C313" i="3"/>
  <c r="E313" i="3"/>
  <c r="N313" i="3" s="1"/>
  <c r="N314" i="3"/>
  <c r="E315" i="3"/>
  <c r="N315" i="3" s="1"/>
  <c r="N316" i="3"/>
  <c r="E317" i="3"/>
  <c r="N317" i="3"/>
  <c r="E318" i="3"/>
  <c r="N318" i="3"/>
  <c r="E319" i="3"/>
  <c r="N319" i="3"/>
  <c r="E320" i="3"/>
  <c r="N320" i="3"/>
  <c r="E321" i="3"/>
  <c r="N321" i="3"/>
  <c r="E322" i="3"/>
  <c r="N322" i="3"/>
  <c r="E323" i="3"/>
  <c r="N323" i="3"/>
  <c r="E324" i="3"/>
  <c r="N324" i="3"/>
  <c r="E325" i="3"/>
  <c r="N325" i="3"/>
  <c r="E326" i="3"/>
  <c r="N326" i="3"/>
  <c r="E327" i="3"/>
  <c r="N327" i="3"/>
  <c r="E328" i="3"/>
  <c r="N328" i="3"/>
  <c r="E329" i="3"/>
  <c r="N329" i="3"/>
  <c r="C330" i="3"/>
  <c r="E330" i="3"/>
  <c r="N330" i="3"/>
  <c r="E192" i="3" l="1"/>
  <c r="E194" i="3"/>
  <c r="N195" i="3"/>
  <c r="N196" i="3"/>
  <c r="N197" i="3"/>
  <c r="N198" i="3"/>
  <c r="N199" i="3"/>
  <c r="E200" i="3"/>
  <c r="N200" i="3" s="1"/>
  <c r="E201" i="3"/>
  <c r="N201" i="3" s="1"/>
  <c r="E202" i="3"/>
  <c r="N202" i="3" s="1"/>
  <c r="E203" i="3"/>
  <c r="N203" i="3" s="1"/>
  <c r="N204" i="3"/>
  <c r="N205" i="3"/>
  <c r="E206" i="3"/>
  <c r="N206" i="3" s="1"/>
  <c r="E207" i="3"/>
  <c r="N207" i="3" s="1"/>
  <c r="E208" i="3"/>
  <c r="N208" i="3" s="1"/>
  <c r="N209" i="3"/>
  <c r="E210" i="3"/>
  <c r="N210" i="3" s="1"/>
  <c r="N21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B63" i="8" l="1"/>
  <c r="E173" i="3" l="1"/>
  <c r="E174" i="3"/>
  <c r="E175" i="3"/>
  <c r="E176" i="3"/>
  <c r="E177" i="3"/>
  <c r="E179" i="3"/>
  <c r="E180" i="3"/>
  <c r="E181" i="3"/>
  <c r="E182" i="3"/>
  <c r="E183" i="3"/>
  <c r="E186" i="3"/>
  <c r="E187" i="3"/>
  <c r="E188" i="3"/>
  <c r="E189" i="3"/>
  <c r="E190" i="3"/>
  <c r="E191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D75" i="1" l="1"/>
  <c r="B75" i="1"/>
  <c r="D177" i="1"/>
  <c r="B177" i="1"/>
  <c r="N173" i="3" l="1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C154" i="3" l="1"/>
  <c r="E154" i="3"/>
  <c r="N154" i="3" s="1"/>
  <c r="E5" i="5" l="1"/>
  <c r="N5" i="5" s="1"/>
  <c r="C5" i="5"/>
  <c r="C79" i="3" l="1"/>
  <c r="C145" i="3" l="1"/>
  <c r="C146" i="3"/>
  <c r="C147" i="3"/>
  <c r="C148" i="3"/>
  <c r="C149" i="3"/>
  <c r="C150" i="3"/>
  <c r="C118" i="3" l="1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51" i="3"/>
  <c r="C152" i="3"/>
  <c r="C153" i="3"/>
  <c r="C155" i="3"/>
  <c r="C156" i="3"/>
  <c r="C157" i="3"/>
  <c r="C158" i="3"/>
  <c r="C159" i="3"/>
  <c r="C160" i="3"/>
  <c r="C161" i="3"/>
  <c r="C162" i="3"/>
  <c r="C163" i="3"/>
  <c r="C165" i="3"/>
  <c r="C166" i="3"/>
  <c r="C167" i="3"/>
  <c r="C168" i="3"/>
  <c r="C169" i="3"/>
  <c r="C170" i="3"/>
  <c r="E116" i="3"/>
  <c r="N116" i="3" s="1"/>
  <c r="E117" i="3"/>
  <c r="N117" i="3" s="1"/>
  <c r="N118" i="3"/>
  <c r="E119" i="3"/>
  <c r="N119" i="3" s="1"/>
  <c r="E120" i="3"/>
  <c r="N120" i="3" s="1"/>
  <c r="N121" i="3"/>
  <c r="E122" i="3"/>
  <c r="N122" i="3" s="1"/>
  <c r="E123" i="3"/>
  <c r="N123" i="3" s="1"/>
  <c r="E124" i="3"/>
  <c r="N124" i="3" s="1"/>
  <c r="E125" i="3"/>
  <c r="N125" i="3" s="1"/>
  <c r="E126" i="3"/>
  <c r="N126" i="3" s="1"/>
  <c r="E127" i="3"/>
  <c r="N127" i="3" s="1"/>
  <c r="E128" i="3"/>
  <c r="N128" i="3" s="1"/>
  <c r="E129" i="3"/>
  <c r="N129" i="3" s="1"/>
  <c r="E130" i="3"/>
  <c r="N130" i="3" s="1"/>
  <c r="E131" i="3"/>
  <c r="N131" i="3" s="1"/>
  <c r="E132" i="3"/>
  <c r="N132" i="3" s="1"/>
  <c r="E133" i="3"/>
  <c r="N133" i="3" s="1"/>
  <c r="E134" i="3"/>
  <c r="N134" i="3" s="1"/>
  <c r="E135" i="3"/>
  <c r="N135" i="3" s="1"/>
  <c r="E136" i="3"/>
  <c r="N136" i="3" s="1"/>
  <c r="E137" i="3"/>
  <c r="N137" i="3" s="1"/>
  <c r="E138" i="3"/>
  <c r="N138" i="3" s="1"/>
  <c r="E139" i="3"/>
  <c r="N139" i="3" s="1"/>
  <c r="E140" i="3"/>
  <c r="N140" i="3" s="1"/>
  <c r="E141" i="3"/>
  <c r="N141" i="3" s="1"/>
  <c r="E142" i="3"/>
  <c r="N142" i="3" s="1"/>
  <c r="E143" i="3"/>
  <c r="N143" i="3" s="1"/>
  <c r="E144" i="3"/>
  <c r="N144" i="3" s="1"/>
  <c r="E145" i="3"/>
  <c r="N145" i="3" s="1"/>
  <c r="E146" i="3"/>
  <c r="N146" i="3" s="1"/>
  <c r="E147" i="3"/>
  <c r="N147" i="3" s="1"/>
  <c r="E148" i="3"/>
  <c r="N148" i="3" s="1"/>
  <c r="E149" i="3"/>
  <c r="N149" i="3" s="1"/>
  <c r="E150" i="3"/>
  <c r="N150" i="3" s="1"/>
  <c r="E151" i="3"/>
  <c r="N151" i="3" s="1"/>
  <c r="E152" i="3"/>
  <c r="N152" i="3" s="1"/>
  <c r="E153" i="3"/>
  <c r="N153" i="3" s="1"/>
  <c r="E155" i="3"/>
  <c r="N155" i="3" s="1"/>
  <c r="E156" i="3"/>
  <c r="N156" i="3" s="1"/>
  <c r="E157" i="3"/>
  <c r="N157" i="3" s="1"/>
  <c r="E158" i="3"/>
  <c r="E159" i="3"/>
  <c r="N159" i="3" s="1"/>
  <c r="E160" i="3"/>
  <c r="N160" i="3" s="1"/>
  <c r="E161" i="3"/>
  <c r="N161" i="3" s="1"/>
  <c r="E162" i="3"/>
  <c r="N162" i="3" s="1"/>
  <c r="E163" i="3"/>
  <c r="N163" i="3" s="1"/>
  <c r="E165" i="3"/>
  <c r="N165" i="3" s="1"/>
  <c r="E166" i="3"/>
  <c r="N166" i="3" s="1"/>
  <c r="E167" i="3"/>
  <c r="N167" i="3" s="1"/>
  <c r="E168" i="3"/>
  <c r="N168" i="3" s="1"/>
  <c r="E169" i="3"/>
  <c r="N169" i="3" s="1"/>
  <c r="E170" i="3"/>
  <c r="N170" i="3" s="1"/>
  <c r="E171" i="3"/>
  <c r="N171" i="3" s="1"/>
  <c r="E172" i="3"/>
  <c r="N172" i="3" s="1"/>
  <c r="E115" i="3"/>
  <c r="N115" i="3" s="1"/>
  <c r="D113" i="1" l="1"/>
  <c r="B113" i="1"/>
  <c r="E113" i="3" l="1"/>
  <c r="N113" i="3" s="1"/>
  <c r="C113" i="3"/>
  <c r="C115" i="3"/>
  <c r="C116" i="3"/>
  <c r="C117" i="3"/>
  <c r="C44" i="3" l="1"/>
  <c r="E112" i="3" l="1"/>
  <c r="N112" i="3" s="1"/>
  <c r="C112" i="3"/>
  <c r="E111" i="3"/>
  <c r="N111" i="3" s="1"/>
  <c r="C111" i="3"/>
  <c r="E110" i="3"/>
  <c r="N110" i="3" s="1"/>
  <c r="C110" i="3"/>
  <c r="E109" i="3"/>
  <c r="N109" i="3" s="1"/>
  <c r="C109" i="3"/>
  <c r="E108" i="3"/>
  <c r="N108" i="3" s="1"/>
  <c r="C108" i="3"/>
  <c r="E107" i="3"/>
  <c r="N107" i="3" s="1"/>
  <c r="C107" i="3"/>
  <c r="E106" i="3"/>
  <c r="N106" i="3" s="1"/>
  <c r="C106" i="3"/>
  <c r="E105" i="3"/>
  <c r="N105" i="3" s="1"/>
  <c r="C105" i="3"/>
  <c r="E104" i="3"/>
  <c r="N104" i="3" s="1"/>
  <c r="C104" i="3"/>
  <c r="E103" i="3"/>
  <c r="N103" i="3" s="1"/>
  <c r="C103" i="3"/>
  <c r="E102" i="3"/>
  <c r="N102" i="3" s="1"/>
  <c r="C102" i="3"/>
  <c r="E101" i="3"/>
  <c r="N101" i="3" s="1"/>
  <c r="C101" i="3"/>
  <c r="N100" i="3"/>
  <c r="C100" i="3"/>
  <c r="E99" i="3"/>
  <c r="N99" i="3" s="1"/>
  <c r="C99" i="3"/>
  <c r="E98" i="3"/>
  <c r="N98" i="3" s="1"/>
  <c r="C98" i="3"/>
  <c r="N97" i="3"/>
  <c r="C97" i="3"/>
  <c r="N96" i="3"/>
  <c r="C96" i="3"/>
  <c r="E95" i="3"/>
  <c r="N95" i="3" s="1"/>
  <c r="C95" i="3"/>
  <c r="E94" i="3"/>
  <c r="N94" i="3" s="1"/>
  <c r="C94" i="3"/>
  <c r="E93" i="3"/>
  <c r="N93" i="3" s="1"/>
  <c r="C93" i="3"/>
  <c r="N92" i="3"/>
  <c r="C92" i="3"/>
  <c r="N91" i="3"/>
  <c r="C91" i="3"/>
  <c r="N90" i="3"/>
  <c r="C90" i="3"/>
  <c r="E89" i="3"/>
  <c r="N89" i="3" s="1"/>
  <c r="C89" i="3"/>
  <c r="E88" i="3"/>
  <c r="N88" i="3" s="1"/>
  <c r="C88" i="3"/>
  <c r="E87" i="3"/>
  <c r="N87" i="3" s="1"/>
  <c r="C87" i="3"/>
  <c r="E86" i="3"/>
  <c r="N86" i="3" s="1"/>
  <c r="C86" i="3"/>
  <c r="E85" i="3"/>
  <c r="N85" i="3" s="1"/>
  <c r="C85" i="3"/>
  <c r="E84" i="3"/>
  <c r="N84" i="3" s="1"/>
  <c r="C84" i="3"/>
  <c r="E83" i="3"/>
  <c r="N83" i="3" s="1"/>
  <c r="C83" i="3"/>
  <c r="E82" i="3"/>
  <c r="N82" i="3" s="1"/>
  <c r="C82" i="3"/>
  <c r="E81" i="3"/>
  <c r="N81" i="3" s="1"/>
  <c r="C81" i="3"/>
  <c r="E80" i="3"/>
  <c r="N80" i="3" s="1"/>
  <c r="C80" i="3"/>
  <c r="E79" i="3"/>
  <c r="N79" i="3" s="1"/>
  <c r="E78" i="3"/>
  <c r="N78" i="3" s="1"/>
  <c r="C78" i="3"/>
  <c r="E77" i="3"/>
  <c r="N77" i="3" s="1"/>
  <c r="C77" i="3"/>
  <c r="E76" i="3"/>
  <c r="N76" i="3" s="1"/>
  <c r="C76" i="3"/>
  <c r="E75" i="3"/>
  <c r="N75" i="3" s="1"/>
  <c r="C75" i="3"/>
  <c r="E74" i="3"/>
  <c r="N74" i="3" s="1"/>
  <c r="C74" i="3"/>
  <c r="E73" i="3"/>
  <c r="N73" i="3" s="1"/>
  <c r="C73" i="3"/>
  <c r="E72" i="3"/>
  <c r="N72" i="3" s="1"/>
  <c r="C72" i="3"/>
  <c r="E71" i="3"/>
  <c r="N71" i="3" s="1"/>
  <c r="C71" i="3"/>
  <c r="E70" i="3"/>
  <c r="N70" i="3" s="1"/>
  <c r="C70" i="3"/>
  <c r="E69" i="3"/>
  <c r="N69" i="3" s="1"/>
  <c r="C69" i="3"/>
  <c r="E68" i="3"/>
  <c r="N68" i="3" s="1"/>
  <c r="C68" i="3"/>
  <c r="E67" i="3"/>
  <c r="N67" i="3" s="1"/>
  <c r="C67" i="3"/>
  <c r="E66" i="3"/>
  <c r="N66" i="3" s="1"/>
  <c r="C66" i="3"/>
  <c r="E65" i="3"/>
  <c r="N65" i="3" s="1"/>
  <c r="C65" i="3"/>
  <c r="E64" i="3"/>
  <c r="N64" i="3" s="1"/>
  <c r="C64" i="3"/>
  <c r="E63" i="3"/>
  <c r="N63" i="3" s="1"/>
  <c r="C63" i="3"/>
  <c r="E62" i="3"/>
  <c r="N62" i="3" s="1"/>
  <c r="C62" i="3"/>
  <c r="E61" i="3"/>
  <c r="N61" i="3" s="1"/>
  <c r="C61" i="3"/>
  <c r="E60" i="3"/>
  <c r="N60" i="3" s="1"/>
  <c r="C60" i="3"/>
  <c r="E59" i="3"/>
  <c r="N59" i="3" s="1"/>
  <c r="C59" i="3"/>
  <c r="E58" i="3"/>
  <c r="N58" i="3" s="1"/>
  <c r="C58" i="3"/>
  <c r="E57" i="3"/>
  <c r="N57" i="3" s="1"/>
  <c r="C57" i="3"/>
  <c r="E56" i="3"/>
  <c r="N56" i="3" s="1"/>
  <c r="C56" i="3"/>
  <c r="E55" i="3"/>
  <c r="N55" i="3" s="1"/>
  <c r="C55" i="3"/>
  <c r="E54" i="3"/>
  <c r="N54" i="3" s="1"/>
  <c r="C54" i="3"/>
  <c r="E53" i="3"/>
  <c r="N53" i="3" s="1"/>
  <c r="C53" i="3"/>
  <c r="E52" i="3"/>
  <c r="N52" i="3" s="1"/>
  <c r="C52" i="3"/>
  <c r="E51" i="3"/>
  <c r="N51" i="3" s="1"/>
  <c r="C51" i="3"/>
  <c r="E50" i="3"/>
  <c r="N50" i="3" s="1"/>
  <c r="C50" i="3"/>
  <c r="E49" i="3"/>
  <c r="N49" i="3" s="1"/>
  <c r="C49" i="3"/>
  <c r="E48" i="3"/>
  <c r="N48" i="3" s="1"/>
  <c r="C48" i="3"/>
  <c r="E47" i="3"/>
  <c r="N47" i="3" s="1"/>
  <c r="C47" i="3"/>
  <c r="E46" i="3"/>
  <c r="N46" i="3" s="1"/>
  <c r="C46" i="3"/>
  <c r="E45" i="3"/>
  <c r="N45" i="3" s="1"/>
  <c r="C45" i="3"/>
  <c r="E44" i="3"/>
  <c r="N44" i="3" s="1"/>
  <c r="E43" i="3"/>
  <c r="N43" i="3" s="1"/>
  <c r="C43" i="3"/>
  <c r="E42" i="3"/>
  <c r="N42" i="3" s="1"/>
  <c r="C42" i="3"/>
  <c r="E41" i="3"/>
  <c r="N41" i="3" s="1"/>
  <c r="C41" i="3"/>
  <c r="E40" i="3"/>
  <c r="N40" i="3" s="1"/>
  <c r="C40" i="3"/>
  <c r="E39" i="3"/>
  <c r="N39" i="3" s="1"/>
  <c r="C39" i="3"/>
  <c r="E38" i="3"/>
  <c r="N38" i="3" s="1"/>
  <c r="C38" i="3"/>
  <c r="E37" i="3"/>
  <c r="N37" i="3" s="1"/>
  <c r="C37" i="3"/>
  <c r="E36" i="3"/>
  <c r="N36" i="3" s="1"/>
  <c r="C36" i="3"/>
  <c r="E35" i="3"/>
  <c r="N35" i="3" s="1"/>
  <c r="C35" i="3"/>
  <c r="E34" i="3"/>
  <c r="N34" i="3" s="1"/>
  <c r="C34" i="3"/>
  <c r="E33" i="3"/>
  <c r="N33" i="3" s="1"/>
  <c r="C33" i="3"/>
  <c r="E32" i="3"/>
  <c r="N32" i="3" s="1"/>
  <c r="C32" i="3"/>
  <c r="E31" i="3"/>
  <c r="N31" i="3" s="1"/>
  <c r="C31" i="3"/>
  <c r="E30" i="3"/>
  <c r="N30" i="3" s="1"/>
  <c r="C30" i="3"/>
  <c r="E29" i="3"/>
  <c r="N29" i="3" s="1"/>
  <c r="C29" i="3"/>
  <c r="E28" i="3"/>
  <c r="N28" i="3" s="1"/>
  <c r="C28" i="3"/>
  <c r="E27" i="3"/>
  <c r="N27" i="3" s="1"/>
  <c r="C27" i="3"/>
  <c r="E26" i="3"/>
  <c r="N26" i="3" s="1"/>
  <c r="C26" i="3"/>
  <c r="E25" i="3"/>
  <c r="N25" i="3" s="1"/>
  <c r="C25" i="3"/>
  <c r="E24" i="3"/>
  <c r="N24" i="3" s="1"/>
  <c r="C24" i="3"/>
  <c r="E23" i="3"/>
  <c r="N23" i="3" s="1"/>
  <c r="C23" i="3"/>
  <c r="E22" i="3"/>
  <c r="N22" i="3" s="1"/>
  <c r="C22" i="3"/>
  <c r="E21" i="3"/>
  <c r="N21" i="3" s="1"/>
  <c r="C21" i="3"/>
  <c r="E20" i="3"/>
  <c r="N20" i="3" s="1"/>
  <c r="C20" i="3"/>
  <c r="E19" i="3"/>
  <c r="N19" i="3" s="1"/>
  <c r="C19" i="3"/>
  <c r="E18" i="3"/>
  <c r="N18" i="3" s="1"/>
  <c r="C18" i="3"/>
  <c r="E17" i="3"/>
  <c r="N17" i="3" s="1"/>
  <c r="C17" i="3"/>
  <c r="E16" i="3"/>
  <c r="N16" i="3" s="1"/>
  <c r="C16" i="3"/>
  <c r="E15" i="3"/>
  <c r="N15" i="3" s="1"/>
  <c r="C15" i="3"/>
  <c r="E14" i="3"/>
  <c r="N14" i="3" s="1"/>
  <c r="C14" i="3"/>
  <c r="E13" i="3"/>
  <c r="N13" i="3" s="1"/>
  <c r="C13" i="3"/>
  <c r="E12" i="3"/>
  <c r="N12" i="3" s="1"/>
  <c r="C12" i="3"/>
  <c r="E11" i="3"/>
  <c r="N11" i="3" s="1"/>
  <c r="C11" i="3"/>
  <c r="E10" i="3"/>
  <c r="N10" i="3" s="1"/>
  <c r="C10" i="3"/>
  <c r="E9" i="3"/>
  <c r="N9" i="3" s="1"/>
  <c r="C9" i="3"/>
  <c r="E8" i="3"/>
  <c r="N8" i="3" s="1"/>
  <c r="C8" i="3"/>
  <c r="E7" i="3"/>
  <c r="N7" i="3" s="1"/>
  <c r="C7" i="3"/>
</calcChain>
</file>

<file path=xl/sharedStrings.xml><?xml version="1.0" encoding="utf-8"?>
<sst xmlns="http://schemas.openxmlformats.org/spreadsheetml/2006/main" count="1066" uniqueCount="473">
  <si>
    <t>Description</t>
  </si>
  <si>
    <t>Qty</t>
  </si>
  <si>
    <t>Price</t>
  </si>
  <si>
    <t>ADIDAS ICE DIVE MEN 3.4 OZ. EDT</t>
  </si>
  <si>
    <t>ADIDAS TEAM FORCE MEN 3.4 OZ. EDT</t>
  </si>
  <si>
    <t>ADIDAS VICTORY LEAGUE MEN 3.4 OZ. EDT SP-NEW UPC</t>
  </si>
  <si>
    <t>ADIDAS VICTORY LEAGUE MEN 3.4 OZ. SP (NEW UPC)</t>
  </si>
  <si>
    <t>AFNAN 9AM DIVE UNISEX 3.4 OZ. EDP SP</t>
  </si>
  <si>
    <t>AFNAN 9AM WOMEN 3.4 OZ. EDP SP</t>
  </si>
  <si>
    <t>AFNAN 9PM MEN 3.4 OZ. EDP SP</t>
  </si>
  <si>
    <t>AFNAN 9PM REBEL (RED) UNISEX 3.4 OZ EDP SP</t>
  </si>
  <si>
    <t>AL HARAMAIN AMBER OUD GOLD UNISEX 2.0 OZ EDP SP</t>
  </si>
  <si>
    <t>AL HARAMAIN AMBER OUD PRIVATE EDITION UNISEX 2.0 OZ EDP SP</t>
  </si>
  <si>
    <t>AL HARAMAIN AMBER OUD RUBY WOMEN 3.3 OZ. EDP SP</t>
  </si>
  <si>
    <t>ΑΝΤΟΝΙΟO BANDERAS BLUE SEDUCTION MEN 3.4 OZ EDT SP-NEW UPC</t>
  </si>
  <si>
    <t>ARIANA GRANDE CLOUD WOMEN 3.4 OZ. EDP SP</t>
  </si>
  <si>
    <t>ARIANA GRANDE SWEET LIKE CANDY WOMEN 3.4 OZ. EDP SP</t>
  </si>
  <si>
    <t>ARMAF CHECKMATE QUEEN WOMEN 3.4 OZ EDP SP</t>
  </si>
  <si>
    <t>ARMAF CLUB DE NUIT INTENSE MEN 2.37 OZ EXTRAIT DE PARFUM SP</t>
  </si>
  <si>
    <t>ARMAF CLUB DE NUIT PRECIEUX 1 EXTRAIT DE PARFUM FOR ΜΕΝ 1.85 OZ</t>
  </si>
  <si>
    <t>ARMAF CLUB DE NUIT URBAN ELIXIR MEN 3.6 OZ EDP SP</t>
  </si>
  <si>
    <t>ARMAF CLUB DE NUIT WOMEN 3.6 OZ. EDP SP</t>
  </si>
  <si>
    <t>ARMAF CLUB INTENSE PARFUM MEN 3.6 OZ. EDP LIMITED EDITION</t>
  </si>
  <si>
    <t>ARMAF CLUB NUIT INTENSE WOMEN 3.6 OZ. EDP SP</t>
  </si>
  <si>
    <t>ARMAF ODYSSEY BLACK MEN 3.4 OZ. EDP SP</t>
  </si>
  <si>
    <t>ARMAF ODYSSEY SPECTRA MEN 3.4 OZ EDP SP</t>
  </si>
  <si>
    <t>BHARARA KING MEN 3.4 OZ. EDP SP</t>
  </si>
  <si>
    <t>BRITNEY SPEARS BELIEVE WOMEN 3.3 OZ. EDP SP</t>
  </si>
  <si>
    <t>BRITNEY SPEARS CIRCUS FANTASY 3.4 OZ. EDP SPRAY</t>
  </si>
  <si>
    <t>BRITNEY SPEARS CURIOUS WOMAN 3.3 EDP SP</t>
  </si>
  <si>
    <t>BRITNEY SPEARS FANTASY HIDDEN WOMAN 3.3 OZ. EDP SP</t>
  </si>
  <si>
    <t>BRITNEY SPEARS FANTASY WOMAN 3.4 OZ. EDP SP</t>
  </si>
  <si>
    <t>BRITNEY SPEARS PREROGATIVE RAVE WOMAN 3.4 OZ. EDP SP</t>
  </si>
  <si>
    <t>CAROLINA HERRERA BAD BOY COBALTO MEN 3.4 OZ EDP SP</t>
  </si>
  <si>
    <t>CAROLINA HERRERA CHIC WOMAN 2.7 OZ. EDP SP</t>
  </si>
  <si>
    <t>CLINIQUE HAPPY WOMEN 3.4 OZ. EDP SPRAY</t>
  </si>
  <si>
    <t>DIESEL PLUS PLUS MEN 2.5 OZ. EDT</t>
  </si>
  <si>
    <t>DIESEL PLUS PLUS WOMAN 2.5 OZ. EDT</t>
  </si>
  <si>
    <t>DIESEL ZERO PLUS RED WOMAN 2.5 OZ. EDT</t>
  </si>
  <si>
    <t>KIDS DISNEY GUARDIANS OF THE GALAXY BY MARVEL MEN 3.3 OZ EDT SP-AIR VAL</t>
  </si>
  <si>
    <t>KIDS DISNEY MINNIE MOUSE 3.4 OZ. EDT SP - AIR VAL</t>
  </si>
  <si>
    <t>LATTAFA YARA MOI WOMEN 3.4 OZ EDP SP</t>
  </si>
  <si>
    <t>LATTAFA YARA TOUS WOMEN 3.4 OZ. EDP SP</t>
  </si>
  <si>
    <t>MOSCHINO ΤΟΥ ΒΟΥ ΜΕΝ 3.4 OZ. EDP SP</t>
  </si>
  <si>
    <t>PARIS HILTON GOLD RUSH MEN 3.4 OZ. EDT SP</t>
  </si>
  <si>
    <t>PARIS HILTON WOMEN 3.4 OZ. EDP SP</t>
  </si>
  <si>
    <t>PERRY ELLIS 360 COLLECTION ROSE WOMEN 3.4 OZ. SPRAY</t>
  </si>
  <si>
    <t>PERRY ELLIS 360 COLLECTION MAGNETIC PINK WOMEN 3.4 OZ EDP SP</t>
  </si>
  <si>
    <t>PERRY ELLIS 360 WOMEN 6.8 OZ. EDT SPRAY</t>
  </si>
  <si>
    <t>PERRY ELLIS 360 COLLECTION WOMEN 3.4 OZ. EDP SPRAY</t>
  </si>
  <si>
    <t>PERRY ELLIS 360 CORAL WOMEN 3.4 OZ. EDP SP</t>
  </si>
  <si>
    <t>PERRY ELLIS 360 PINK WOMEN 3.4 OZ. EDP SP</t>
  </si>
  <si>
    <t>PERRY ELLIS 360 RED WOMEN 3.4 OZ. EDP SP</t>
  </si>
  <si>
    <t>PERRY ELLIS 360 WOMEN 3.4 OZ. EDT SPRAY</t>
  </si>
  <si>
    <t>RASASI HAWAS ICE MEN 3.4 OZ EDP SP</t>
  </si>
  <si>
    <t>RASASI HAWAS ELIXIR UNISEX 3.4 OZ EDP SP</t>
  </si>
  <si>
    <t>Inventario</t>
  </si>
  <si>
    <t>Codigo</t>
  </si>
  <si>
    <t xml:space="preserve">Cliente </t>
  </si>
  <si>
    <t xml:space="preserve">Producto </t>
  </si>
  <si>
    <t>Precio</t>
  </si>
  <si>
    <t xml:space="preserve">Fecha </t>
  </si>
  <si>
    <t>Pago 1</t>
  </si>
  <si>
    <t>Pago 2</t>
  </si>
  <si>
    <t>Pago 3</t>
  </si>
  <si>
    <t>Pago 4</t>
  </si>
  <si>
    <t>CLIENTES</t>
  </si>
  <si>
    <t>Gabriela Maykel</t>
  </si>
  <si>
    <t xml:space="preserve">Fin Credito </t>
  </si>
  <si>
    <t xml:space="preserve">Codigo </t>
  </si>
  <si>
    <t xml:space="preserve">Numero </t>
  </si>
  <si>
    <t xml:space="preserve">referencia </t>
  </si>
  <si>
    <t>+58 426-6814186</t>
  </si>
  <si>
    <t>+58 424-7352963</t>
  </si>
  <si>
    <t>Genesis Torres</t>
  </si>
  <si>
    <t xml:space="preserve">Wenrit Corro </t>
  </si>
  <si>
    <t>NOTA</t>
  </si>
  <si>
    <t>Luis Barbero</t>
  </si>
  <si>
    <t>Csar 1</t>
  </si>
  <si>
    <t>Csar 2</t>
  </si>
  <si>
    <t>Yonathan</t>
  </si>
  <si>
    <t>Nani</t>
  </si>
  <si>
    <t>Luis 1</t>
  </si>
  <si>
    <t>Gensis T</t>
  </si>
  <si>
    <t>Yusnaidy</t>
  </si>
  <si>
    <t xml:space="preserve">Cesar </t>
  </si>
  <si>
    <t xml:space="preserve">Maria </t>
  </si>
  <si>
    <t>Santigo</t>
  </si>
  <si>
    <t>Ahilin</t>
  </si>
  <si>
    <t>Yelisamar 1</t>
  </si>
  <si>
    <t>Maria Quintana</t>
  </si>
  <si>
    <t>Yonathan Gamez</t>
  </si>
  <si>
    <t>Stalin 53 (Pedido anterior)</t>
  </si>
  <si>
    <t xml:space="preserve">Nani </t>
  </si>
  <si>
    <t>Yelismar</t>
  </si>
  <si>
    <t>Yusneidy Alarcon</t>
  </si>
  <si>
    <t>Yajaira</t>
  </si>
  <si>
    <t xml:space="preserve">Nautica </t>
  </si>
  <si>
    <t xml:space="preserve">Por pagar </t>
  </si>
  <si>
    <t>Yaya, Yajaira</t>
  </si>
  <si>
    <t xml:space="preserve">Maria Mercedez </t>
  </si>
  <si>
    <t>Milana Medina</t>
  </si>
  <si>
    <t>Gregorio Salcedo</t>
  </si>
  <si>
    <t>Anyi Castillo</t>
  </si>
  <si>
    <t>Maricela Balza</t>
  </si>
  <si>
    <t>Slacedo, Anyi</t>
  </si>
  <si>
    <t>Luis 1, Csar 1</t>
  </si>
  <si>
    <t>Rosangela</t>
  </si>
  <si>
    <t>Rosangela Medina</t>
  </si>
  <si>
    <t>Yuli R</t>
  </si>
  <si>
    <t>Yelismar 1/Yuli</t>
  </si>
  <si>
    <t>Neuris</t>
  </si>
  <si>
    <t>Yelismar Solano</t>
  </si>
  <si>
    <t>Wilson, Yelismar</t>
  </si>
  <si>
    <t xml:space="preserve">Wilson Gonzales </t>
  </si>
  <si>
    <t>Hector Hidromaticos</t>
  </si>
  <si>
    <t>Luis 1, Yelis 1, Neuris, Hector</t>
  </si>
  <si>
    <t>Junior Hidromaticos</t>
  </si>
  <si>
    <t>Grise Hidromaticos</t>
  </si>
  <si>
    <t>Yeni Geneis</t>
  </si>
  <si>
    <t>Yeni Peña</t>
  </si>
  <si>
    <t>N°</t>
  </si>
  <si>
    <t>Kristel Kowaski</t>
  </si>
  <si>
    <t>Edgar Oati</t>
  </si>
  <si>
    <t>Ventas</t>
  </si>
  <si>
    <t>Luis 1, Yelis 1, Csar 2</t>
  </si>
  <si>
    <t>Luis 1, Yelis 1, Csar 1</t>
  </si>
  <si>
    <t xml:space="preserve">Csar 1, Yeny </t>
  </si>
  <si>
    <t>Yerika Angulo</t>
  </si>
  <si>
    <t>Paola Gomez</t>
  </si>
  <si>
    <t>Luis 1, Yelis 1, Csar 2, Paola</t>
  </si>
  <si>
    <t>Arma Neliz</t>
  </si>
  <si>
    <t>Luis 1, Arma</t>
  </si>
  <si>
    <t>Ciribeth Guerrero</t>
  </si>
  <si>
    <t>Afnan Violet Bouquet woman (LUIS)</t>
  </si>
  <si>
    <t>Reinaldo Davila</t>
  </si>
  <si>
    <t>Maria de los Angueles Peña</t>
  </si>
  <si>
    <t>Cesar 1, Reinaldo, Wenrit</t>
  </si>
  <si>
    <t>Michell, Ciribeth</t>
  </si>
  <si>
    <t>, Csar 2</t>
  </si>
  <si>
    <t xml:space="preserve">Genesis, Kristel, </t>
  </si>
  <si>
    <t>Cesar 1, Wendy, Milana</t>
  </si>
  <si>
    <t xml:space="preserve"> Csar 1</t>
  </si>
  <si>
    <t>Yelisamar 1, Csar 1</t>
  </si>
  <si>
    <t>Michell Mendez</t>
  </si>
  <si>
    <t>Csar 1, Junior</t>
  </si>
  <si>
    <t>Cesar Chourio</t>
  </si>
  <si>
    <t>Moraima Dar</t>
  </si>
  <si>
    <t>Raquel Dar</t>
  </si>
  <si>
    <t xml:space="preserve">Eladio Torres </t>
  </si>
  <si>
    <t>Eladio, Yerika</t>
  </si>
  <si>
    <t>hector, Yonathan, yaya</t>
  </si>
  <si>
    <t>Luis Rivera</t>
  </si>
  <si>
    <t>Pedido anterior</t>
  </si>
  <si>
    <t>Diana Ardila</t>
  </si>
  <si>
    <t>MAJANO</t>
  </si>
  <si>
    <t>ROJAS</t>
  </si>
  <si>
    <t>PEREZ</t>
  </si>
  <si>
    <t>RANGUEL</t>
  </si>
  <si>
    <t>HERMANO</t>
  </si>
  <si>
    <t>55$ Luis</t>
  </si>
  <si>
    <t>Club de niut Sillje</t>
  </si>
  <si>
    <t>HERMANO (Luis)</t>
  </si>
  <si>
    <t>Luis 1, Ciribeth, Salcedo</t>
  </si>
  <si>
    <t>Wendy Rondon</t>
  </si>
  <si>
    <t>9/7/20025</t>
  </si>
  <si>
    <t>Luis Rivero</t>
  </si>
  <si>
    <t>Pago 5</t>
  </si>
  <si>
    <t>Pago 6</t>
  </si>
  <si>
    <t>Pago 7</t>
  </si>
  <si>
    <t>Danco Papel</t>
  </si>
  <si>
    <t>Homer Danco</t>
  </si>
  <si>
    <t>Maykel</t>
  </si>
  <si>
    <t>Jean Molina</t>
  </si>
  <si>
    <t xml:space="preserve"> </t>
  </si>
  <si>
    <t>Yosber Caracas</t>
  </si>
  <si>
    <t xml:space="preserve">Abrahan Andres Contreras </t>
  </si>
  <si>
    <t>13$ cuenta Vieja</t>
  </si>
  <si>
    <t>Alvaro Tomassi</t>
  </si>
  <si>
    <t>ARMAF ODYSSEY WHITE MEN 3.4 OZ. EDP SPR</t>
  </si>
  <si>
    <t>LATTAFA ASAD MEN 3.4 OZ. EDP SP</t>
  </si>
  <si>
    <t>LATTAFA BADEE AL OUD HONOR AND GLORY UNISEX 3.4 OZ</t>
  </si>
  <si>
    <t>LATTAFA BADEE AL OUD NOBLE BLUSH 3.4 OZ EDP SP</t>
  </si>
  <si>
    <t>LATTAFA YARA CANDY WOMEN 3.4 OZ EDP SP</t>
  </si>
  <si>
    <t>PERRY ELLIS 360 RED MEN 3.4 OZ. EDT SPRAY</t>
  </si>
  <si>
    <t>RASASI HAWAS BLACK MEN 3.4 OZ EDP SP</t>
  </si>
  <si>
    <t>SWISS ARMY ALTITUDE MEN 3.4 OZ. EDT SPRAY</t>
  </si>
  <si>
    <t>GUES SEDUCTIVE KISS WOMEN 2.5 OZ. EDT</t>
  </si>
  <si>
    <t>GUESS 1981 LOS ANGELES WOMEN 3.4 OZ. EDT SP</t>
  </si>
  <si>
    <t>Cristian Yelismar</t>
  </si>
  <si>
    <t>28/82025</t>
  </si>
  <si>
    <t>Majano   55</t>
  </si>
  <si>
    <t>Maria Jose 60</t>
  </si>
  <si>
    <t>Arturo 55</t>
  </si>
  <si>
    <t>Herrera</t>
  </si>
  <si>
    <t>LIZ CKAUBORNE CURVE BLACK|</t>
  </si>
  <si>
    <t>Jair Hidromaticos</t>
  </si>
  <si>
    <t>queda en 53</t>
  </si>
  <si>
    <t>Nikolay Parra</t>
  </si>
  <si>
    <t>Andreina</t>
  </si>
  <si>
    <t>AFNAN 9AM DIVE UNISEX  5.0 OZ EDP SP</t>
  </si>
  <si>
    <t>ANTONIO BANDERAS BLUE SEDUCTION MEN 3.4 OZ EDT SP-NEW UPC</t>
  </si>
  <si>
    <t>ARMAF ODYSSEY AOUD MEN 3.4 OZ EDP SP</t>
  </si>
  <si>
    <t>ARMAF ODYSSEY CANDEE WOMEN 3.4 OZ EDP SP</t>
  </si>
  <si>
    <t>ARMAF ODYSSEY DUBAI CHOCOLATE MEN GOURMAN EDITION
3.4 OZ  EDP SP</t>
  </si>
  <si>
    <t>ARMAF ODYSSEY LIMONI MEN 3.4 OZ EDP SP</t>
  </si>
  <si>
    <t>ARMAF ODYSSEY MANDARIN MEN 3.4 OZ EDP SP</t>
  </si>
  <si>
    <t>ARMAF ODYSSEY MEGA MEN 3.4 OZ EDP SP</t>
  </si>
  <si>
    <t>ARMAF ODYSSEY TYRANT MEN  3.4  OZ EDP SP</t>
  </si>
  <si>
    <t>BODY MIST WOMEN ARIANA GRANDE ARI 8.0 OZ. SP</t>
  </si>
  <si>
    <t>BODY MIST WOMEN ARIANA GRANDE CLOUD 8.0 OZ.</t>
  </si>
  <si>
    <t>BODY MIST WOMEN ARIANA GRANDE GOD IS A WOMAN  8.0 OZ
SPRAY</t>
  </si>
  <si>
    <t>BODY MIST WOMEN ARIANA GRANDE MOONLIGHT 8.0 OZ. SP</t>
  </si>
  <si>
    <t>BODY MIST WOMEN ARIANA GRANDE SWEET LIKE CANDY 8.0
OZ. SP</t>
  </si>
  <si>
    <t>BODY MIST WOMEN ARIANA GRANDE THANK YOU NEXT 8.0 OZ.
SP</t>
  </si>
  <si>
    <t>BODY MIST WOMEN PARIS HILTON 8.0 OZ. SP</t>
  </si>
  <si>
    <t>BODY MIST WOMEN PARIS HILTON CAN CAN 8.0 OZ. SP</t>
  </si>
  <si>
    <t>BODY MIST WOMEN PERRY ELLIS 360 8.0 OZ. SP</t>
  </si>
  <si>
    <t>BODY MIST WOMEN PINK SUGAR 8.0 OZ.</t>
  </si>
  <si>
    <t>BODY MIST WOMEN SEAN JOHN UNFORGIVABLE 8.0 OZ. SP</t>
  </si>
  <si>
    <t>BODY MIST WOMEN SOFIA VERGARA LOST IN PARADISE 8.0 OZ. SP</t>
  </si>
  <si>
    <t>BODY SPRAY ARMAF CLUB DE NUIT INTENSE MEN  6.8 OZ</t>
  </si>
  <si>
    <t>BODY SPRAY ARMAF ODYSSEY AOUD MEN  6.8 OZ</t>
  </si>
  <si>
    <t>BODY SPRAY ARMAF ODYSSEY AQUA  MEN 6.8 OZ</t>
  </si>
  <si>
    <t>BODY SPRAY ARMAF ODYSSEY HOME WHITE EDITION MEN 6.8
OZ</t>
  </si>
  <si>
    <t>BODY SPRAY ARMAF ODYSSEY LIMONI FRESH EDITION MEN 6.8
OZ</t>
  </si>
  <si>
    <t>BODY SPRAY ARMAF ODYSSEY SPECTRA MEN 6.8 OZ</t>
  </si>
  <si>
    <t>BODY SPRAY ARMAF ODYSSEY TYRANT MEN 6.8 OZ</t>
  </si>
  <si>
    <t>BODY SPRAY ARMAF ODYSSEY WILD ONE MEN</t>
  </si>
  <si>
    <t>LATTAFA YARA CANDY WOMEN 3.4 OZ  EDP SP</t>
  </si>
  <si>
    <t>SWISS ARMY BLACK STEEL MEN  3.4  OZ EDT SP</t>
  </si>
  <si>
    <t>SWISS ARMY CLASSIC 3.4 OZ. EDT - NEW PRESENTATION</t>
  </si>
  <si>
    <t xml:space="preserve">CLIENTE </t>
  </si>
  <si>
    <t>PEDIDO 11/2025</t>
  </si>
  <si>
    <t>TOTALES</t>
  </si>
  <si>
    <t>VENTAS 11/2025</t>
  </si>
  <si>
    <t>Yosber /</t>
  </si>
  <si>
    <t>Rafael Molina</t>
  </si>
  <si>
    <t>Pasante</t>
  </si>
  <si>
    <t xml:space="preserve">Jean Paul Toro / Karen Vergara </t>
  </si>
  <si>
    <t xml:space="preserve">Karen Vergara </t>
  </si>
  <si>
    <t>Yosber Boticario</t>
  </si>
  <si>
    <t>Wenrit</t>
  </si>
  <si>
    <t>Wentir</t>
  </si>
  <si>
    <t>Cesar</t>
  </si>
  <si>
    <t>40$</t>
  </si>
  <si>
    <t>Karen Vergara</t>
  </si>
  <si>
    <t>Csar</t>
  </si>
  <si>
    <t>csar</t>
  </si>
  <si>
    <t>Jean Paul Toro</t>
  </si>
  <si>
    <t>Zughey</t>
  </si>
  <si>
    <t>Santiago / Edgar Oati</t>
  </si>
  <si>
    <t>Luis Barbero / Edgar Oati / Cristian</t>
  </si>
  <si>
    <t>Aida Corro</t>
  </si>
  <si>
    <t>Aida</t>
  </si>
  <si>
    <t>Sandra Corro</t>
  </si>
  <si>
    <t>16/11/20225</t>
  </si>
  <si>
    <t>Sandra</t>
  </si>
  <si>
    <t>Pablo Dar</t>
  </si>
  <si>
    <t>Victor Palencia</t>
  </si>
  <si>
    <t>70$</t>
  </si>
  <si>
    <t>Junior Rondon</t>
  </si>
  <si>
    <t>Noely 70$ BCV</t>
  </si>
  <si>
    <t>Gatrif 70 BCV</t>
  </si>
  <si>
    <t>Talia 50 bcv</t>
  </si>
  <si>
    <t>Mario 50$ BCV</t>
  </si>
  <si>
    <t>Yarol Ocando</t>
  </si>
  <si>
    <t>Cesar 60$</t>
  </si>
  <si>
    <t>Cesar 50$</t>
  </si>
  <si>
    <t>Sandra Corro / Nikolay Parra</t>
  </si>
  <si>
    <t>Yunior Rondon / Nikolay Parra</t>
  </si>
  <si>
    <t>Cesar 45$</t>
  </si>
  <si>
    <t>Cesar 55$</t>
  </si>
  <si>
    <t>Albert Uzcategui</t>
  </si>
  <si>
    <t>Grisel Hidromaticos</t>
  </si>
  <si>
    <t>Rafael Molina / Victor Palencia / Grisel Hgidromaticos</t>
  </si>
  <si>
    <t xml:space="preserve">Luis Rivero / Pablo </t>
  </si>
  <si>
    <t>MENSAJE DE COBROO</t>
  </si>
  <si>
    <t>Ana Mercedez 70$ bcv</t>
  </si>
  <si>
    <t>Margory 70$ BCV</t>
  </si>
  <si>
    <t>Andres Contreras / Jenny (Luis Rivero)</t>
  </si>
  <si>
    <t>Wenrit Corro / Albert Uzcategui / Luis Rivero(Luis Rivero)</t>
  </si>
  <si>
    <t>Nikolay</t>
  </si>
  <si>
    <t>Cristian / Junior Hidromaticos</t>
  </si>
  <si>
    <t>Fernando Albarran</t>
  </si>
  <si>
    <t>MAGICAL MONMENT</t>
  </si>
  <si>
    <t>Alvaro Tomassi (Yerika)</t>
  </si>
  <si>
    <t>Alvaro Tomassi 60</t>
  </si>
  <si>
    <t>Yelis , Moraima, Luis1, Alvaro Tomassi</t>
  </si>
  <si>
    <t>Luis Barbero / Maria los Angeles/Diana Ardila</t>
  </si>
  <si>
    <t>PEDIDO 12/2025</t>
  </si>
  <si>
    <t>ADIDAS DYNAMIC PULSE MEN 3.4 OZ. SP (NEW UPC)</t>
  </si>
  <si>
    <t>ADIDAS VICTORY LEAGUE MEN 3.4 OZ. EDT SP -NEW UPC</t>
  </si>
  <si>
    <t>AFNAN 9PM ELIXIR UNISEX 3.4 OZ PARFUM INTENSE</t>
  </si>
  <si>
    <t>AL HARAMAIN AMBER OUD AQUA DUBAI UNISEX 3.4 OZ
EXTRAIT DE PARFUM</t>
  </si>
  <si>
    <t>ANTONIO BANDERAS BLACK SEDUCTION MEN 3.4 OZ. EDT
SP-NEW UPC</t>
  </si>
  <si>
    <t>ARMAF CLUB DE NUIT INTENSE MEN 3.6 OZ. EDT SP</t>
  </si>
  <si>
    <t>ARMAF CLUB DE NUIT MILESTONE MEN 3.6 OZ. EDP</t>
  </si>
  <si>
    <t>ARMAF CLUB DE NUIT PRECIEUX 1 EXTRAIT DE PARFUM FOR
MEN  1.85 OZ</t>
  </si>
  <si>
    <t>ARMAF CLUB NUIT ICONIC MEN 3.6 OZ. EDP SP</t>
  </si>
  <si>
    <t>ARMAF ODYSSEY BLACK FOREST DESERT EDITION MEN 3.4 EDP
SP</t>
  </si>
  <si>
    <t>ARMAF ODYSSEY FEMME WOMEN 2.7 OZ EDP SP</t>
  </si>
  <si>
    <t>ARMAF ODYSSEY SPECTRA MEN  3.4 OZ EDP SP</t>
  </si>
  <si>
    <t>ARMAF ODYSSEY TYRANT MEN 3.4  OZ EDP SP</t>
  </si>
  <si>
    <t>ARMAF YUM YUM WOMEN 3.4 OZ EDP SP</t>
  </si>
  <si>
    <t>BODY SPRAY CAROLINA HERRERA 212 MEN 5.0 OZ</t>
  </si>
  <si>
    <t>BODY SPRAY CAROLINA HERRERA 212 VIP WOMEN  5.0 OZ</t>
  </si>
  <si>
    <t>BODY SPRAY PERRY ELLIS 360 RED MEN 6.0 OZ  ( NEW UPC )</t>
  </si>
  <si>
    <t>BODY SPRAY PERRY ELLIS 360 VERY BLUE FOR  MEN 6.0 OZ</t>
  </si>
  <si>
    <t>BODY SPRAY SPRAY PERRY ELLIS AQUA EXTREME MEN 6.0 OZ</t>
  </si>
  <si>
    <t>CUBA GOLD MEN 3.4 OZ. EDT SP</t>
  </si>
  <si>
    <t>CUBA JUNGLE TIGER WOMEN 3.4 OZ. EDT SP</t>
  </si>
  <si>
    <t>CUBA SHADOW MEN 3.4 OZ. EDT SP</t>
  </si>
  <si>
    <t>CUBA WILD HEART MEN 3.4 OZ. EDT SP</t>
  </si>
  <si>
    <t>DUMONT NITRO RED MEN 3.4 EDP SP</t>
  </si>
  <si>
    <t>FILA BLACK MEN 3.4 OZ. EDT SP</t>
  </si>
  <si>
    <t>FILA RED MEN 3.4 OZ. EDT SP</t>
  </si>
  <si>
    <t>KIDS DISNEY MICKEY MOUSE 3.4 OZ. EDT SP -  AIR VAL</t>
  </si>
  <si>
    <t>KIDS DISNEY MINNIE MOUSE 3.4 OZ. EDT SP -  AIR VAL</t>
  </si>
  <si>
    <t>KIDS DISNEY PRINCESS MULAN 34 OZ.EDT SP</t>
  </si>
  <si>
    <t>LATTAFA KHAMRAH DUKHAN UNISEX  3.4 OZ EDP SP</t>
  </si>
  <si>
    <t>LATTAFA KHAMRAH QAHWA UNISEX 3.4 OZ EDP SP</t>
  </si>
  <si>
    <t>NAUTICA BLUE MEN 3.4 OZ. EDT SP</t>
  </si>
  <si>
    <t>NAUTICA VOYAGE MEN 3.4 OZ. EDT SPRAY</t>
  </si>
  <si>
    <t>PERRY ELLIS 360 BLACK MEN 3.4 OZ. EDT SPRAY</t>
  </si>
  <si>
    <t>PERRY ELLIS 360 COLLECTION MAGNETIC BLUE MEN  3.4 OZ EDT
SP</t>
  </si>
  <si>
    <t>PERRY ELLIS 360 COLLECTION MEN 3.4 OZ. EDT SPRAY</t>
  </si>
  <si>
    <t>PERRY ELLIS 360 COLLECTION ROSE WOMEN 3.4 OZ. EDP SPRAY</t>
  </si>
  <si>
    <t>PERRY ELLIS 360 MEN 3.4 OZ. EDT SPRAY</t>
  </si>
  <si>
    <t>PERRY ELLIS 360 VERY BLUE MEN 3.4 OZ. EDT SPRAY</t>
  </si>
  <si>
    <t>Yenny Peña</t>
  </si>
  <si>
    <t>PRECIO</t>
  </si>
  <si>
    <t>INV</t>
  </si>
  <si>
    <t>VENDIDO</t>
  </si>
  <si>
    <t>DIVISAS</t>
  </si>
  <si>
    <t>TASA EURO</t>
  </si>
  <si>
    <t xml:space="preserve">PRODUCTO </t>
  </si>
  <si>
    <t>Yoselin</t>
  </si>
  <si>
    <t>Paola Chimi</t>
  </si>
  <si>
    <t>Debe luis 10</t>
  </si>
  <si>
    <t>Vecina (Luis 40)</t>
  </si>
  <si>
    <t>Pedro (Luis 25)</t>
  </si>
  <si>
    <t>brayan (Luis 30)</t>
  </si>
  <si>
    <t xml:space="preserve">Paola Chimi </t>
  </si>
  <si>
    <t>Luis Alejandro (luis 30)</t>
  </si>
  <si>
    <t>Cesar 50$ (Abono 155$ 20/12)</t>
  </si>
  <si>
    <t>Humberto Aranda</t>
  </si>
  <si>
    <t>Pedido Viejo</t>
  </si>
  <si>
    <t>60$</t>
  </si>
  <si>
    <t>50$</t>
  </si>
  <si>
    <t>65$</t>
  </si>
  <si>
    <t>VENTAS 12/2025</t>
  </si>
  <si>
    <t>Nikolay Parra /Mario/Humberto Aranda</t>
  </si>
  <si>
    <t>Hector Hidroamticos</t>
  </si>
  <si>
    <t>Junior Hidromaticos / Hector Hidromaticos</t>
  </si>
  <si>
    <t>Norehn</t>
  </si>
  <si>
    <t>Valentina Tribunal</t>
  </si>
  <si>
    <t>Hector Hidroamticos / Valentina Tribuanal</t>
  </si>
  <si>
    <t>Yair Hidromaticos / Andreina</t>
  </si>
  <si>
    <t>70$ bcv</t>
  </si>
  <si>
    <t>Luis 1, Yelis 1, Csar 2 / Andreina 2</t>
  </si>
  <si>
    <t>Jean Molina / Luis Rivero / 2 Andreina / Wenrit</t>
  </si>
  <si>
    <t xml:space="preserve">Andreina </t>
  </si>
  <si>
    <t>Hector Hidroamticos / Andreina / Andreina</t>
  </si>
  <si>
    <t>Maria de los angeles Peña / Alber Uzcategui</t>
  </si>
  <si>
    <t>Wilmer Albarran</t>
  </si>
  <si>
    <t>Maria de los angeles Peña / Yarol</t>
  </si>
  <si>
    <t>Michell / Hector Hidromaticos</t>
  </si>
  <si>
    <t>Andreina / Diana Ardila</t>
  </si>
  <si>
    <t xml:space="preserve">Andres Pinto </t>
  </si>
  <si>
    <t>9/1/20256</t>
  </si>
  <si>
    <t>Hector Hidroamticos /  Andres Pinto</t>
  </si>
  <si>
    <t xml:space="preserve">Bencir Guerrero </t>
  </si>
  <si>
    <t>Johana Nieto</t>
  </si>
  <si>
    <t>Hector Hidroamticos / Ciribeth Guerrero</t>
  </si>
  <si>
    <t>Jean Molina / Ciribeth Guerrero</t>
  </si>
  <si>
    <t>Marilyn</t>
  </si>
  <si>
    <t>Majano</t>
  </si>
  <si>
    <t>Maria Ruiz</t>
  </si>
  <si>
    <t>Rojas</t>
  </si>
  <si>
    <t>Ranguel</t>
  </si>
  <si>
    <t>Forgionne</t>
  </si>
  <si>
    <t>Rayma y Jose</t>
  </si>
  <si>
    <t xml:space="preserve">Maria Alejandra </t>
  </si>
  <si>
    <t>Ciribeth Guerrero / Luis Molina</t>
  </si>
  <si>
    <t>Ciribeth</t>
  </si>
  <si>
    <t xml:space="preserve">Ciribeth Guerrero </t>
  </si>
  <si>
    <t>Ciribeth Guerrro</t>
  </si>
  <si>
    <t>Brito</t>
  </si>
  <si>
    <t>Omar Guerra</t>
  </si>
  <si>
    <t>Omar Guerra Juez</t>
  </si>
  <si>
    <t>Reinaldo Davila / Marilyn/Omar Guerra</t>
  </si>
  <si>
    <t>Luis Rivero / Ciribeth Guerrero</t>
  </si>
  <si>
    <t>Valentina Tribunal / Valentina Tribunal</t>
  </si>
  <si>
    <t>Liliana Secretaria Omar</t>
  </si>
  <si>
    <t>Liliana Secretaria de Omar</t>
  </si>
  <si>
    <t>Ciribeth Guerrero / Omar Guerra</t>
  </si>
  <si>
    <t>Wilmer Albarran / Hidromaticos</t>
  </si>
  <si>
    <t xml:space="preserve">Junior Hidromaticos / </t>
  </si>
  <si>
    <t>Luis Rivero / Omar Guerra</t>
  </si>
  <si>
    <t xml:space="preserve">Jean Molina  / Liliana Secretaria Omar </t>
  </si>
  <si>
    <t>Norehn Zelle lo tiene Luis</t>
  </si>
  <si>
    <t>Mili</t>
  </si>
  <si>
    <t>Reiber</t>
  </si>
  <si>
    <t>Kawy</t>
  </si>
  <si>
    <t>Vanessa Fiscalia Euro</t>
  </si>
  <si>
    <t>Perez</t>
  </si>
  <si>
    <t>se dejo en 60</t>
  </si>
  <si>
    <t>AFNAN 9PM WOMEN 3.4 OZ.EDP SP</t>
  </si>
  <si>
    <t>ARIANA GRANDE CLOUD PINK WOMEN 3.4 OZ EDP SP</t>
  </si>
  <si>
    <t>ARMAF  CLUB DE NUIT WOMEN  2.37 OZ  EXTRAIT DE PARFUM SP</t>
  </si>
  <si>
    <t>ARMAF CHECKMATE QUEEN WOMEN 3.4 OZ  EDP SP</t>
  </si>
  <si>
    <t>BODY MIST WOMEN  ARIANA GRANDE THANK U NEXT 2.0 8 OZ SPRAY</t>
  </si>
  <si>
    <t>BODY MIST WOMEN ARIANA GRANDE SWEET LIKE CANDY 8.0 OZ. SP</t>
  </si>
  <si>
    <t>BODY MIST WOMEN ARIANA GRANDE THANK YOU NEXT 8.0 OZ. SP</t>
  </si>
  <si>
    <t>CALKIN KLEIN BE MEN 3.4 OZ. EDT SP ( NEW UPC )</t>
  </si>
  <si>
    <t>CLINIQUE HAPPY HEART WOMEN 3.4 OZ. EDP SP</t>
  </si>
  <si>
    <t>LATTAFA ASAD BOURBON MEN 3.4 OZ EDP SP</t>
  </si>
  <si>
    <t>LATTAFA ASAD ELIXIR MEN 3.4 OZ EDP SP</t>
  </si>
  <si>
    <t>LATTAFA BADEE AL OUD FOR GLORY 3.4 OZ.EDP SP</t>
  </si>
  <si>
    <t>LATTAFA PRIDE ISHQ AL SHUYUKH GOLD WOMEN 3.4 OZ EDP SP</t>
  </si>
  <si>
    <t>LATTAFA YARA ELIXIR WOMEN 3.4 OZ EDP SP</t>
  </si>
  <si>
    <t>LATTAFA YARA WOMEN 3.4 OZ. EDP SP</t>
  </si>
  <si>
    <t>NAUTICA CLASSIC MEN 3.4 OZ. EDT SP</t>
  </si>
  <si>
    <t>Yolber</t>
  </si>
  <si>
    <t>BCV EURO</t>
  </si>
  <si>
    <t>BCV DÓLAR</t>
  </si>
  <si>
    <t>Maria Estafany Lobo</t>
  </si>
  <si>
    <t>Norbedy Rojas</t>
  </si>
  <si>
    <t>Anguel Circuito</t>
  </si>
  <si>
    <t>Victoria</t>
  </si>
  <si>
    <t>Keyli</t>
  </si>
  <si>
    <t>Emily</t>
  </si>
  <si>
    <t>Michell</t>
  </si>
  <si>
    <t>Jesus Compadre</t>
  </si>
  <si>
    <t xml:space="preserve">Douglas </t>
  </si>
  <si>
    <t>PEDIDO ABRIL 2026</t>
  </si>
  <si>
    <t>Daniel Angulo</t>
  </si>
  <si>
    <t>Roxana</t>
  </si>
  <si>
    <t>Omaira</t>
  </si>
  <si>
    <t>Yamira Dar Cesta Tiket</t>
  </si>
  <si>
    <t>Miguel Abril Mensajero</t>
  </si>
  <si>
    <t>May-Pna Comido 81$BCV</t>
  </si>
  <si>
    <t>Freddy - pan comido Asad Bourbon  81$ BCV</t>
  </si>
  <si>
    <t>náutica blue 55 dólares a BCV</t>
  </si>
  <si>
    <t>Nelson - pan comido  87 $ a BCV</t>
  </si>
  <si>
    <t>Doctora Gladys araque fiscalía 14 81$ BCV</t>
  </si>
  <si>
    <t>Doctora Mari merchán fiscalía 14 81$ a BCV</t>
  </si>
  <si>
    <t xml:space="preserve">Adriana Vera </t>
  </si>
  <si>
    <t xml:space="preserve">Yuliana Juez </t>
  </si>
  <si>
    <t>Carlos Avila</t>
  </si>
  <si>
    <t>Franco</t>
  </si>
  <si>
    <t>Alba</t>
  </si>
  <si>
    <t>Gabo Guerrero</t>
  </si>
  <si>
    <t>Castor Alguacil</t>
  </si>
  <si>
    <t xml:space="preserve">LATTAFA YARA WOMEN 3.4 OZ. EDP SP </t>
  </si>
  <si>
    <t>Gabriela</t>
  </si>
  <si>
    <t>LATTAFA YARA CANDY WOMEN 3.4 OZ</t>
  </si>
  <si>
    <t>Pepa</t>
  </si>
  <si>
    <t>Armaf ROMA</t>
  </si>
  <si>
    <t>Bencir / Luis</t>
  </si>
  <si>
    <t xml:space="preserve">ARMAF ODYSSEY AOUD MEN 3.4 OZ EDP SP </t>
  </si>
  <si>
    <t>Bencir</t>
  </si>
  <si>
    <t xml:space="preserve">Rangel </t>
  </si>
  <si>
    <t>AFNAN 9PM ELIXIR UNISEX 3.4 OZ PARFUM</t>
  </si>
  <si>
    <t>Vera</t>
  </si>
  <si>
    <t>ARMAF  CLUB DE NUIT WOMEN  2.37 OZ</t>
  </si>
  <si>
    <t>Marquez</t>
  </si>
  <si>
    <t>Dufflart</t>
  </si>
  <si>
    <t>Michaell Autoperico</t>
  </si>
  <si>
    <t>Danco</t>
  </si>
  <si>
    <t>Alvaro Dugarte</t>
  </si>
  <si>
    <t>Alvaro Compadre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</si>
</sst>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[$$-540A]#,##0.00"/>
    <numFmt numFmtId="166" formatCode="&quot;Bs.S&quot;#,##0.00"/>
  </numFmts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4"/>
      <color theme="9" tint="-0.24997711111789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Times New Roman"/>
      <charset val="204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9"/>
      <color rgb="FF000000"/>
      <name val="Times New Roman"/>
      <family val="2"/>
    </font>
    <font>
      <sz val="10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2"/>
      <color theme="9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C6EFCE"/>
      </patternFill>
    </fill>
    <fill>
      <patternFill patternType="solid">
        <fgColor theme="7"/>
        <bgColor indexed="64"/>
      </patternFill>
    </fill>
    <fill>
      <patternFill patternType="solid">
        <fgColor theme="7"/>
        <bgColor theme="0" tint="-0.14999847407452621"/>
      </patternFill>
    </fill>
    <fill>
      <patternFill patternType="solid">
        <fgColor theme="2" tint="-9.9978637043366805E-2"/>
        <bgColor theme="0" tint="-0.14999847407452621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0" tint="-0.14999847407452621"/>
      </patternFill>
    </fill>
    <fill>
      <patternFill patternType="solid">
        <fgColor rgb="FFE5E5E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0" tint="-0.14999847407452621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rgb="FFFF8001"/>
      </bottom>
      <diagonal/>
    </border>
  </borders>
  <cellStyleXfs count="7">
    <xf numFmtId="0" fontId="0" fillId="0" borderId="0"/>
    <xf numFmtId="0" fontId="5" fillId="4" borderId="0" applyNumberFormat="0" applyBorder="0" applyAlignment="0" applyProtection="0"/>
    <xf numFmtId="0" fontId="6" fillId="8" borderId="0" applyNumberFormat="0" applyBorder="0" applyAlignment="0" applyProtection="0"/>
    <xf numFmtId="0" fontId="7" fillId="9" borderId="21" applyNumberFormat="0" applyAlignment="0" applyProtection="0"/>
    <xf numFmtId="0" fontId="8" fillId="0" borderId="0"/>
    <xf numFmtId="0" fontId="13" fillId="0" borderId="0"/>
    <xf numFmtId="0" fontId="18" fillId="16" borderId="0" applyNumberFormat="0" applyBorder="0" applyAlignment="0" applyProtection="0"/>
  </cellStyleXfs>
  <cellXfs count="212">
    <xf numFmtId="0" fontId="0" fillId="0" borderId="0" xfId="0"/>
    <xf numFmtId="0" fontId="1" fillId="2" borderId="3" xfId="0" applyFont="1" applyFill="1" applyBorder="1"/>
    <xf numFmtId="0" fontId="1" fillId="2" borderId="4" xfId="0" applyFont="1" applyFill="1" applyBorder="1"/>
    <xf numFmtId="164" fontId="1" fillId="2" borderId="4" xfId="0" applyNumberFormat="1" applyFont="1" applyFill="1" applyBorder="1"/>
    <xf numFmtId="0" fontId="1" fillId="0" borderId="5" xfId="0" applyFont="1" applyBorder="1"/>
    <xf numFmtId="0" fontId="1" fillId="0" borderId="6" xfId="0" applyFont="1" applyBorder="1"/>
    <xf numFmtId="164" fontId="1" fillId="0" borderId="6" xfId="0" applyNumberFormat="1" applyFont="1" applyBorder="1"/>
    <xf numFmtId="0" fontId="1" fillId="2" borderId="5" xfId="0" applyFont="1" applyFill="1" applyBorder="1"/>
    <xf numFmtId="0" fontId="1" fillId="2" borderId="6" xfId="0" applyFont="1" applyFill="1" applyBorder="1"/>
    <xf numFmtId="164" fontId="1" fillId="2" borderId="6" xfId="0" applyNumberFormat="1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164" fontId="1" fillId="2" borderId="8" xfId="0" applyNumberFormat="1" applyFont="1" applyFill="1" applyBorder="1"/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164" fontId="1" fillId="2" borderId="10" xfId="0" applyNumberFormat="1" applyFont="1" applyFill="1" applyBorder="1"/>
    <xf numFmtId="164" fontId="1" fillId="0" borderId="11" xfId="0" applyNumberFormat="1" applyFont="1" applyBorder="1"/>
    <xf numFmtId="164" fontId="1" fillId="2" borderId="11" xfId="0" applyNumberFormat="1" applyFont="1" applyFill="1" applyBorder="1"/>
    <xf numFmtId="164" fontId="1" fillId="2" borderId="12" xfId="0" applyNumberFormat="1" applyFont="1" applyFill="1" applyBorder="1"/>
    <xf numFmtId="0" fontId="0" fillId="2" borderId="6" xfId="0" applyFill="1" applyBorder="1"/>
    <xf numFmtId="164" fontId="0" fillId="2" borderId="6" xfId="0" applyNumberFormat="1" applyFill="1" applyBorder="1"/>
    <xf numFmtId="0" fontId="3" fillId="3" borderId="0" xfId="0" applyFont="1" applyFill="1"/>
    <xf numFmtId="0" fontId="3" fillId="0" borderId="0" xfId="0" applyFont="1"/>
    <xf numFmtId="0" fontId="3" fillId="2" borderId="5" xfId="0" applyFont="1" applyFill="1" applyBorder="1"/>
    <xf numFmtId="0" fontId="3" fillId="2" borderId="6" xfId="0" applyFont="1" applyFill="1" applyBorder="1"/>
    <xf numFmtId="0" fontId="4" fillId="0" borderId="0" xfId="0" applyFont="1"/>
    <xf numFmtId="0" fontId="5" fillId="4" borderId="5" xfId="1" applyBorder="1"/>
    <xf numFmtId="0" fontId="1" fillId="0" borderId="9" xfId="0" applyFont="1" applyBorder="1"/>
    <xf numFmtId="0" fontId="1" fillId="0" borderId="13" xfId="0" applyFont="1" applyBorder="1"/>
    <xf numFmtId="1" fontId="1" fillId="2" borderId="10" xfId="0" applyNumberFormat="1" applyFont="1" applyFill="1" applyBorder="1"/>
    <xf numFmtId="1" fontId="1" fillId="0" borderId="11" xfId="0" applyNumberFormat="1" applyFont="1" applyBorder="1"/>
    <xf numFmtId="1" fontId="5" fillId="4" borderId="11" xfId="1" applyNumberFormat="1" applyBorder="1"/>
    <xf numFmtId="1" fontId="1" fillId="2" borderId="11" xfId="0" applyNumberFormat="1" applyFont="1" applyFill="1" applyBorder="1"/>
    <xf numFmtId="1" fontId="0" fillId="0" borderId="0" xfId="0" applyNumberFormat="1"/>
    <xf numFmtId="1" fontId="1" fillId="2" borderId="12" xfId="0" applyNumberFormat="1" applyFont="1" applyFill="1" applyBorder="1"/>
    <xf numFmtId="0" fontId="0" fillId="0" borderId="0" xfId="0" applyProtection="1">
      <protection locked="0"/>
    </xf>
    <xf numFmtId="0" fontId="0" fillId="2" borderId="5" xfId="0" applyFill="1" applyBorder="1" applyProtection="1">
      <protection locked="0"/>
    </xf>
    <xf numFmtId="0" fontId="0" fillId="0" borderId="5" xfId="0" applyBorder="1" applyProtection="1">
      <protection locked="0"/>
    </xf>
    <xf numFmtId="0" fontId="0" fillId="2" borderId="6" xfId="0" applyFill="1" applyBorder="1" applyProtection="1">
      <protection locked="0"/>
    </xf>
    <xf numFmtId="14" fontId="0" fillId="2" borderId="6" xfId="0" applyNumberFormat="1" applyFill="1" applyBorder="1" applyProtection="1">
      <protection locked="0"/>
    </xf>
    <xf numFmtId="164" fontId="0" fillId="2" borderId="6" xfId="0" applyNumberFormat="1" applyFill="1" applyBorder="1" applyProtection="1">
      <protection locked="0"/>
    </xf>
    <xf numFmtId="164" fontId="0" fillId="2" borderId="11" xfId="0" applyNumberFormat="1" applyFill="1" applyBorder="1" applyProtection="1">
      <protection locked="0"/>
    </xf>
    <xf numFmtId="0" fontId="0" fillId="0" borderId="6" xfId="0" applyBorder="1"/>
    <xf numFmtId="0" fontId="0" fillId="0" borderId="6" xfId="0" applyBorder="1" applyProtection="1">
      <protection locked="0"/>
    </xf>
    <xf numFmtId="164" fontId="0" fillId="0" borderId="6" xfId="0" applyNumberFormat="1" applyBorder="1"/>
    <xf numFmtId="14" fontId="0" fillId="0" borderId="6" xfId="0" applyNumberFormat="1" applyBorder="1" applyProtection="1">
      <protection locked="0"/>
    </xf>
    <xf numFmtId="164" fontId="0" fillId="0" borderId="6" xfId="0" applyNumberFormat="1" applyBorder="1" applyProtection="1">
      <protection locked="0"/>
    </xf>
    <xf numFmtId="164" fontId="0" fillId="0" borderId="11" xfId="0" applyNumberFormat="1" applyBorder="1" applyProtection="1">
      <protection locked="0"/>
    </xf>
    <xf numFmtId="0" fontId="0" fillId="2" borderId="14" xfId="0" applyFill="1" applyBorder="1" applyProtection="1">
      <protection locked="0"/>
    </xf>
    <xf numFmtId="0" fontId="0" fillId="0" borderId="14" xfId="0" applyBorder="1" applyProtection="1">
      <protection locked="0"/>
    </xf>
    <xf numFmtId="0" fontId="2" fillId="0" borderId="15" xfId="0" applyFont="1" applyBorder="1" applyProtection="1">
      <protection locked="0"/>
    </xf>
    <xf numFmtId="0" fontId="2" fillId="0" borderId="15" xfId="0" applyFont="1" applyBorder="1"/>
    <xf numFmtId="164" fontId="0" fillId="2" borderId="4" xfId="0" applyNumberFormat="1" applyFill="1" applyBorder="1"/>
    <xf numFmtId="0" fontId="5" fillId="4" borderId="6" xfId="1" applyBorder="1"/>
    <xf numFmtId="164" fontId="5" fillId="4" borderId="6" xfId="1" applyNumberFormat="1" applyBorder="1"/>
    <xf numFmtId="164" fontId="5" fillId="4" borderId="11" xfId="1" applyNumberFormat="1" applyBorder="1"/>
    <xf numFmtId="0" fontId="5" fillId="4" borderId="7" xfId="1" applyBorder="1"/>
    <xf numFmtId="0" fontId="5" fillId="4" borderId="8" xfId="1" applyBorder="1"/>
    <xf numFmtId="164" fontId="5" fillId="4" borderId="8" xfId="1" applyNumberFormat="1" applyBorder="1"/>
    <xf numFmtId="1" fontId="5" fillId="4" borderId="12" xfId="1" applyNumberFormat="1" applyBorder="1"/>
    <xf numFmtId="0" fontId="5" fillId="4" borderId="17" xfId="1" applyBorder="1"/>
    <xf numFmtId="0" fontId="5" fillId="4" borderId="18" xfId="1" applyBorder="1"/>
    <xf numFmtId="164" fontId="5" fillId="4" borderId="18" xfId="1" applyNumberFormat="1" applyBorder="1"/>
    <xf numFmtId="1" fontId="5" fillId="4" borderId="19" xfId="1" applyNumberFormat="1" applyBorder="1"/>
    <xf numFmtId="0" fontId="0" fillId="5" borderId="5" xfId="0" applyFill="1" applyBorder="1" applyProtection="1">
      <protection locked="0"/>
    </xf>
    <xf numFmtId="0" fontId="0" fillId="5" borderId="6" xfId="0" applyFill="1" applyBorder="1"/>
    <xf numFmtId="0" fontId="0" fillId="5" borderId="6" xfId="0" applyFill="1" applyBorder="1" applyProtection="1">
      <protection locked="0"/>
    </xf>
    <xf numFmtId="164" fontId="0" fillId="5" borderId="6" xfId="0" applyNumberFormat="1" applyFill="1" applyBorder="1"/>
    <xf numFmtId="14" fontId="0" fillId="5" borderId="6" xfId="0" applyNumberFormat="1" applyFill="1" applyBorder="1" applyProtection="1">
      <protection locked="0"/>
    </xf>
    <xf numFmtId="164" fontId="0" fillId="5" borderId="6" xfId="0" applyNumberFormat="1" applyFill="1" applyBorder="1" applyProtection="1">
      <protection locked="0"/>
    </xf>
    <xf numFmtId="164" fontId="0" fillId="5" borderId="11" xfId="0" applyNumberFormat="1" applyFill="1" applyBorder="1" applyProtection="1">
      <protection locked="0"/>
    </xf>
    <xf numFmtId="0" fontId="0" fillId="5" borderId="14" xfId="0" applyFill="1" applyBorder="1" applyProtection="1">
      <protection locked="0"/>
    </xf>
    <xf numFmtId="0" fontId="0" fillId="6" borderId="5" xfId="0" applyFill="1" applyBorder="1" applyProtection="1">
      <protection locked="0"/>
    </xf>
    <xf numFmtId="0" fontId="0" fillId="6" borderId="6" xfId="0" applyFill="1" applyBorder="1"/>
    <xf numFmtId="0" fontId="0" fillId="6" borderId="6" xfId="0" applyFill="1" applyBorder="1" applyProtection="1">
      <protection locked="0"/>
    </xf>
    <xf numFmtId="164" fontId="0" fillId="6" borderId="6" xfId="0" applyNumberFormat="1" applyFill="1" applyBorder="1"/>
    <xf numFmtId="14" fontId="0" fillId="6" borderId="6" xfId="0" applyNumberFormat="1" applyFill="1" applyBorder="1" applyProtection="1">
      <protection locked="0"/>
    </xf>
    <xf numFmtId="164" fontId="0" fillId="6" borderId="6" xfId="0" applyNumberFormat="1" applyFill="1" applyBorder="1" applyProtection="1">
      <protection locked="0"/>
    </xf>
    <xf numFmtId="164" fontId="0" fillId="6" borderId="11" xfId="0" applyNumberFormat="1" applyFill="1" applyBorder="1" applyProtection="1">
      <protection locked="0"/>
    </xf>
    <xf numFmtId="0" fontId="0" fillId="6" borderId="14" xfId="0" applyFill="1" applyBorder="1" applyProtection="1">
      <protection locked="0"/>
    </xf>
    <xf numFmtId="14" fontId="0" fillId="6" borderId="6" xfId="0" applyNumberFormat="1" applyFill="1" applyBorder="1"/>
    <xf numFmtId="0" fontId="0" fillId="7" borderId="6" xfId="0" applyFill="1" applyBorder="1"/>
    <xf numFmtId="0" fontId="5" fillId="4" borderId="5" xfId="1" applyBorder="1" applyProtection="1">
      <protection locked="0"/>
    </xf>
    <xf numFmtId="0" fontId="5" fillId="4" borderId="6" xfId="1" applyBorder="1" applyProtection="1">
      <protection locked="0"/>
    </xf>
    <xf numFmtId="14" fontId="5" fillId="4" borderId="6" xfId="1" applyNumberFormat="1" applyBorder="1" applyProtection="1">
      <protection locked="0"/>
    </xf>
    <xf numFmtId="164" fontId="5" fillId="4" borderId="6" xfId="1" applyNumberFormat="1" applyBorder="1" applyProtection="1">
      <protection locked="0"/>
    </xf>
    <xf numFmtId="164" fontId="5" fillId="4" borderId="11" xfId="1" applyNumberFormat="1" applyBorder="1" applyProtection="1">
      <protection locked="0"/>
    </xf>
    <xf numFmtId="0" fontId="5" fillId="4" borderId="14" xfId="1" applyBorder="1" applyProtection="1">
      <protection locked="0"/>
    </xf>
    <xf numFmtId="0" fontId="5" fillId="4" borderId="0" xfId="1"/>
    <xf numFmtId="0" fontId="5" fillId="4" borderId="3" xfId="1" applyBorder="1" applyProtection="1">
      <protection locked="0"/>
    </xf>
    <xf numFmtId="0" fontId="5" fillId="4" borderId="4" xfId="1" applyBorder="1"/>
    <xf numFmtId="0" fontId="5" fillId="4" borderId="4" xfId="1" applyBorder="1" applyProtection="1">
      <protection locked="0"/>
    </xf>
    <xf numFmtId="164" fontId="5" fillId="4" borderId="4" xfId="1" applyNumberFormat="1" applyBorder="1"/>
    <xf numFmtId="14" fontId="5" fillId="4" borderId="4" xfId="1" applyNumberFormat="1" applyBorder="1" applyProtection="1">
      <protection locked="0"/>
    </xf>
    <xf numFmtId="164" fontId="5" fillId="4" borderId="4" xfId="1" applyNumberFormat="1" applyBorder="1" applyProtection="1">
      <protection locked="0"/>
    </xf>
    <xf numFmtId="164" fontId="5" fillId="4" borderId="10" xfId="1" applyNumberFormat="1" applyBorder="1" applyProtection="1">
      <protection locked="0"/>
    </xf>
    <xf numFmtId="0" fontId="5" fillId="4" borderId="16" xfId="1" applyBorder="1" applyProtection="1">
      <protection locked="0"/>
    </xf>
    <xf numFmtId="1" fontId="5" fillId="4" borderId="0" xfId="1" applyNumberFormat="1"/>
    <xf numFmtId="0" fontId="7" fillId="9" borderId="24" xfId="3" applyBorder="1"/>
    <xf numFmtId="0" fontId="9" fillId="9" borderId="24" xfId="3" applyFont="1" applyBorder="1" applyAlignment="1">
      <alignment horizontal="center"/>
    </xf>
    <xf numFmtId="0" fontId="11" fillId="0" borderId="6" xfId="0" applyFont="1" applyBorder="1"/>
    <xf numFmtId="164" fontId="11" fillId="0" borderId="6" xfId="0" applyNumberFormat="1" applyFont="1" applyBorder="1"/>
    <xf numFmtId="1" fontId="11" fillId="4" borderId="6" xfId="1" applyNumberFormat="1" applyFont="1" applyBorder="1"/>
    <xf numFmtId="0" fontId="5" fillId="4" borderId="6" xfId="1" applyNumberFormat="1" applyBorder="1"/>
    <xf numFmtId="0" fontId="5" fillId="4" borderId="6" xfId="1" applyBorder="1" applyAlignment="1"/>
    <xf numFmtId="164" fontId="5" fillId="4" borderId="6" xfId="1" applyNumberFormat="1" applyBorder="1" applyAlignment="1"/>
    <xf numFmtId="0" fontId="2" fillId="0" borderId="25" xfId="0" applyFont="1" applyBorder="1" applyProtection="1">
      <protection locked="0"/>
    </xf>
    <xf numFmtId="0" fontId="2" fillId="0" borderId="25" xfId="0" applyFont="1" applyBorder="1"/>
    <xf numFmtId="0" fontId="0" fillId="0" borderId="6" xfId="0" applyBorder="1" applyAlignment="1">
      <alignment horizontal="left"/>
    </xf>
    <xf numFmtId="14" fontId="0" fillId="0" borderId="6" xfId="0" applyNumberFormat="1" applyBorder="1" applyAlignment="1">
      <alignment horizontal="left" indent="1"/>
    </xf>
    <xf numFmtId="0" fontId="0" fillId="0" borderId="6" xfId="0" applyBorder="1" applyAlignment="1">
      <alignment horizontal="left" indent="2"/>
    </xf>
    <xf numFmtId="0" fontId="0" fillId="0" borderId="6" xfId="0" applyBorder="1" applyAlignment="1">
      <alignment horizontal="left" indent="3"/>
    </xf>
    <xf numFmtId="0" fontId="0" fillId="0" borderId="6" xfId="0" applyBorder="1" applyAlignment="1">
      <alignment horizontal="left" indent="4"/>
    </xf>
    <xf numFmtId="0" fontId="0" fillId="0" borderId="6" xfId="0" applyBorder="1" applyAlignment="1">
      <alignment horizontal="left" indent="5"/>
    </xf>
    <xf numFmtId="0" fontId="1" fillId="10" borderId="6" xfId="0" applyFont="1" applyFill="1" applyBorder="1"/>
    <xf numFmtId="164" fontId="1" fillId="10" borderId="6" xfId="0" applyNumberFormat="1" applyFont="1" applyFill="1" applyBorder="1"/>
    <xf numFmtId="0" fontId="1" fillId="11" borderId="6" xfId="0" applyFont="1" applyFill="1" applyBorder="1"/>
    <xf numFmtId="164" fontId="1" fillId="11" borderId="6" xfId="0" applyNumberFormat="1" applyFont="1" applyFill="1" applyBorder="1"/>
    <xf numFmtId="0" fontId="0" fillId="2" borderId="6" xfId="0" applyFill="1" applyBorder="1" applyAlignment="1">
      <alignment horizontal="left"/>
    </xf>
    <xf numFmtId="1" fontId="12" fillId="12" borderId="6" xfId="5" applyNumberFormat="1" applyFont="1" applyFill="1" applyBorder="1" applyAlignment="1">
      <alignment horizontal="right" vertical="top" shrinkToFit="1"/>
    </xf>
    <xf numFmtId="1" fontId="1" fillId="2" borderId="6" xfId="0" applyNumberFormat="1" applyFont="1" applyFill="1" applyBorder="1"/>
    <xf numFmtId="1" fontId="1" fillId="0" borderId="6" xfId="0" applyNumberFormat="1" applyFont="1" applyBorder="1"/>
    <xf numFmtId="0" fontId="14" fillId="0" borderId="6" xfId="0" applyFont="1" applyBorder="1"/>
    <xf numFmtId="0" fontId="9" fillId="9" borderId="24" xfId="3" applyFont="1" applyBorder="1"/>
    <xf numFmtId="0" fontId="5" fillId="4" borderId="20" xfId="1" applyBorder="1" applyProtection="1">
      <protection locked="0"/>
    </xf>
    <xf numFmtId="0" fontId="5" fillId="4" borderId="20" xfId="1" applyBorder="1"/>
    <xf numFmtId="164" fontId="5" fillId="4" borderId="20" xfId="1" applyNumberFormat="1" applyBorder="1"/>
    <xf numFmtId="14" fontId="5" fillId="4" borderId="20" xfId="1" applyNumberFormat="1" applyBorder="1" applyProtection="1">
      <protection locked="0"/>
    </xf>
    <xf numFmtId="164" fontId="5" fillId="4" borderId="20" xfId="1" applyNumberFormat="1" applyBorder="1" applyProtection="1">
      <protection locked="0"/>
    </xf>
    <xf numFmtId="0" fontId="15" fillId="13" borderId="6" xfId="0" applyFont="1" applyFill="1" applyBorder="1"/>
    <xf numFmtId="164" fontId="15" fillId="13" borderId="6" xfId="0" applyNumberFormat="1" applyFont="1" applyFill="1" applyBorder="1"/>
    <xf numFmtId="0" fontId="16" fillId="13" borderId="6" xfId="0" applyFont="1" applyFill="1" applyBorder="1"/>
    <xf numFmtId="0" fontId="0" fillId="14" borderId="5" xfId="0" applyFill="1" applyBorder="1" applyProtection="1">
      <protection locked="0"/>
    </xf>
    <xf numFmtId="0" fontId="0" fillId="14" borderId="6" xfId="0" applyFill="1" applyBorder="1"/>
    <xf numFmtId="0" fontId="0" fillId="14" borderId="6" xfId="0" applyFill="1" applyBorder="1" applyProtection="1">
      <protection locked="0"/>
    </xf>
    <xf numFmtId="164" fontId="0" fillId="14" borderId="6" xfId="0" applyNumberFormat="1" applyFill="1" applyBorder="1"/>
    <xf numFmtId="14" fontId="0" fillId="14" borderId="6" xfId="0" applyNumberFormat="1" applyFill="1" applyBorder="1" applyProtection="1">
      <protection locked="0"/>
    </xf>
    <xf numFmtId="164" fontId="0" fillId="14" borderId="6" xfId="0" applyNumberFormat="1" applyFill="1" applyBorder="1" applyProtection="1">
      <protection locked="0"/>
    </xf>
    <xf numFmtId="164" fontId="0" fillId="14" borderId="11" xfId="0" applyNumberFormat="1" applyFill="1" applyBorder="1" applyProtection="1">
      <protection locked="0"/>
    </xf>
    <xf numFmtId="164" fontId="0" fillId="15" borderId="4" xfId="0" applyNumberFormat="1" applyFill="1" applyBorder="1"/>
    <xf numFmtId="0" fontId="0" fillId="14" borderId="14" xfId="0" applyFill="1" applyBorder="1" applyProtection="1">
      <protection locked="0"/>
    </xf>
    <xf numFmtId="0" fontId="0" fillId="15" borderId="5" xfId="0" applyFill="1" applyBorder="1" applyProtection="1">
      <protection locked="0"/>
    </xf>
    <xf numFmtId="0" fontId="0" fillId="15" borderId="6" xfId="0" applyFill="1" applyBorder="1"/>
    <xf numFmtId="0" fontId="0" fillId="15" borderId="6" xfId="0" applyFill="1" applyBorder="1" applyProtection="1">
      <protection locked="0"/>
    </xf>
    <xf numFmtId="164" fontId="0" fillId="15" borderId="6" xfId="0" applyNumberFormat="1" applyFill="1" applyBorder="1"/>
    <xf numFmtId="14" fontId="0" fillId="15" borderId="6" xfId="0" applyNumberFormat="1" applyFill="1" applyBorder="1" applyProtection="1">
      <protection locked="0"/>
    </xf>
    <xf numFmtId="164" fontId="0" fillId="15" borderId="6" xfId="0" applyNumberFormat="1" applyFill="1" applyBorder="1" applyProtection="1">
      <protection locked="0"/>
    </xf>
    <xf numFmtId="164" fontId="0" fillId="15" borderId="11" xfId="0" applyNumberFormat="1" applyFill="1" applyBorder="1" applyProtection="1">
      <protection locked="0"/>
    </xf>
    <xf numFmtId="0" fontId="0" fillId="15" borderId="14" xfId="0" applyFill="1" applyBorder="1" applyProtection="1">
      <protection locked="0"/>
    </xf>
    <xf numFmtId="0" fontId="17" fillId="14" borderId="5" xfId="0" applyFont="1" applyFill="1" applyBorder="1" applyProtection="1">
      <protection locked="0"/>
    </xf>
    <xf numFmtId="0" fontId="17" fillId="14" borderId="6" xfId="0" applyFont="1" applyFill="1" applyBorder="1"/>
    <xf numFmtId="0" fontId="17" fillId="14" borderId="6" xfId="0" applyFont="1" applyFill="1" applyBorder="1" applyProtection="1">
      <protection locked="0"/>
    </xf>
    <xf numFmtId="164" fontId="17" fillId="15" borderId="6" xfId="0" applyNumberFormat="1" applyFont="1" applyFill="1" applyBorder="1"/>
    <xf numFmtId="14" fontId="17" fillId="14" borderId="6" xfId="0" applyNumberFormat="1" applyFont="1" applyFill="1" applyBorder="1" applyProtection="1">
      <protection locked="0"/>
    </xf>
    <xf numFmtId="164" fontId="17" fillId="14" borderId="6" xfId="0" applyNumberFormat="1" applyFont="1" applyFill="1" applyBorder="1" applyProtection="1">
      <protection locked="0"/>
    </xf>
    <xf numFmtId="164" fontId="17" fillId="14" borderId="11" xfId="0" applyNumberFormat="1" applyFont="1" applyFill="1" applyBorder="1" applyProtection="1">
      <protection locked="0"/>
    </xf>
    <xf numFmtId="164" fontId="17" fillId="14" borderId="6" xfId="0" applyNumberFormat="1" applyFont="1" applyFill="1" applyBorder="1"/>
    <xf numFmtId="0" fontId="17" fillId="14" borderId="14" xfId="0" applyFont="1" applyFill="1" applyBorder="1" applyProtection="1">
      <protection locked="0"/>
    </xf>
    <xf numFmtId="0" fontId="17" fillId="14" borderId="0" xfId="0" applyFont="1" applyFill="1"/>
    <xf numFmtId="0" fontId="17" fillId="15" borderId="5" xfId="0" applyFont="1" applyFill="1" applyBorder="1" applyProtection="1">
      <protection locked="0"/>
    </xf>
    <xf numFmtId="0" fontId="17" fillId="15" borderId="6" xfId="0" applyFont="1" applyFill="1" applyBorder="1"/>
    <xf numFmtId="0" fontId="17" fillId="15" borderId="6" xfId="0" applyFont="1" applyFill="1" applyBorder="1" applyProtection="1">
      <protection locked="0"/>
    </xf>
    <xf numFmtId="14" fontId="17" fillId="15" borderId="6" xfId="0" applyNumberFormat="1" applyFont="1" applyFill="1" applyBorder="1" applyProtection="1">
      <protection locked="0"/>
    </xf>
    <xf numFmtId="164" fontId="17" fillId="15" borderId="6" xfId="0" applyNumberFormat="1" applyFont="1" applyFill="1" applyBorder="1" applyProtection="1">
      <protection locked="0"/>
    </xf>
    <xf numFmtId="164" fontId="17" fillId="15" borderId="11" xfId="0" applyNumberFormat="1" applyFont="1" applyFill="1" applyBorder="1" applyProtection="1">
      <protection locked="0"/>
    </xf>
    <xf numFmtId="0" fontId="17" fillId="15" borderId="14" xfId="0" applyFont="1" applyFill="1" applyBorder="1" applyProtection="1">
      <protection locked="0"/>
    </xf>
    <xf numFmtId="0" fontId="17" fillId="11" borderId="5" xfId="0" applyFont="1" applyFill="1" applyBorder="1" applyProtection="1">
      <protection locked="0"/>
    </xf>
    <xf numFmtId="0" fontId="17" fillId="11" borderId="6" xfId="0" applyFont="1" applyFill="1" applyBorder="1"/>
    <xf numFmtId="0" fontId="17" fillId="11" borderId="6" xfId="0" applyFont="1" applyFill="1" applyBorder="1" applyProtection="1">
      <protection locked="0"/>
    </xf>
    <xf numFmtId="164" fontId="17" fillId="11" borderId="6" xfId="0" applyNumberFormat="1" applyFont="1" applyFill="1" applyBorder="1"/>
    <xf numFmtId="14" fontId="17" fillId="11" borderId="6" xfId="0" applyNumberFormat="1" applyFont="1" applyFill="1" applyBorder="1" applyProtection="1">
      <protection locked="0"/>
    </xf>
    <xf numFmtId="164" fontId="17" fillId="11" borderId="6" xfId="0" applyNumberFormat="1" applyFont="1" applyFill="1" applyBorder="1" applyProtection="1">
      <protection locked="0"/>
    </xf>
    <xf numFmtId="164" fontId="17" fillId="11" borderId="11" xfId="0" applyNumberFormat="1" applyFont="1" applyFill="1" applyBorder="1" applyProtection="1">
      <protection locked="0"/>
    </xf>
    <xf numFmtId="0" fontId="17" fillId="10" borderId="5" xfId="0" applyFont="1" applyFill="1" applyBorder="1" applyProtection="1">
      <protection locked="0"/>
    </xf>
    <xf numFmtId="0" fontId="17" fillId="10" borderId="0" xfId="0" applyFont="1" applyFill="1"/>
    <xf numFmtId="0" fontId="17" fillId="10" borderId="6" xfId="0" applyFont="1" applyFill="1" applyBorder="1" applyProtection="1">
      <protection locked="0"/>
    </xf>
    <xf numFmtId="164" fontId="17" fillId="10" borderId="6" xfId="0" applyNumberFormat="1" applyFont="1" applyFill="1" applyBorder="1"/>
    <xf numFmtId="14" fontId="17" fillId="10" borderId="6" xfId="0" applyNumberFormat="1" applyFont="1" applyFill="1" applyBorder="1" applyProtection="1">
      <protection locked="0"/>
    </xf>
    <xf numFmtId="164" fontId="17" fillId="10" borderId="6" xfId="0" applyNumberFormat="1" applyFont="1" applyFill="1" applyBorder="1" applyProtection="1">
      <protection locked="0"/>
    </xf>
    <xf numFmtId="164" fontId="17" fillId="10" borderId="11" xfId="0" applyNumberFormat="1" applyFont="1" applyFill="1" applyBorder="1" applyProtection="1">
      <protection locked="0"/>
    </xf>
    <xf numFmtId="0" fontId="17" fillId="10" borderId="14" xfId="0" applyFont="1" applyFill="1" applyBorder="1" applyProtection="1">
      <protection locked="0"/>
    </xf>
    <xf numFmtId="0" fontId="18" fillId="16" borderId="5" xfId="6" applyBorder="1" applyProtection="1">
      <protection locked="0"/>
    </xf>
    <xf numFmtId="0" fontId="18" fillId="16" borderId="6" xfId="6" applyBorder="1"/>
    <xf numFmtId="0" fontId="18" fillId="16" borderId="6" xfId="6" applyBorder="1" applyProtection="1">
      <protection locked="0"/>
    </xf>
    <xf numFmtId="164" fontId="18" fillId="16" borderId="6" xfId="6" applyNumberFormat="1" applyBorder="1"/>
    <xf numFmtId="14" fontId="18" fillId="16" borderId="6" xfId="6" applyNumberFormat="1" applyBorder="1" applyProtection="1">
      <protection locked="0"/>
    </xf>
    <xf numFmtId="164" fontId="18" fillId="16" borderId="6" xfId="6" applyNumberFormat="1" applyBorder="1" applyProtection="1">
      <protection locked="0"/>
    </xf>
    <xf numFmtId="164" fontId="18" fillId="16" borderId="11" xfId="6" applyNumberFormat="1" applyBorder="1" applyProtection="1">
      <protection locked="0"/>
    </xf>
    <xf numFmtId="0" fontId="18" fillId="16" borderId="14" xfId="6" applyBorder="1" applyProtection="1">
      <protection locked="0"/>
    </xf>
    <xf numFmtId="0" fontId="8" fillId="0" borderId="0" xfId="4"/>
    <xf numFmtId="166" fontId="1" fillId="0" borderId="6" xfId="0" applyNumberFormat="1" applyFont="1" applyBorder="1"/>
    <xf numFmtId="166" fontId="1" fillId="2" borderId="6" xfId="0" applyNumberFormat="1" applyFont="1" applyFill="1" applyBorder="1"/>
    <xf numFmtId="165" fontId="1" fillId="0" borderId="6" xfId="0" applyNumberFormat="1" applyFont="1" applyBorder="1"/>
    <xf numFmtId="0" fontId="14" fillId="0" borderId="0" xfId="0" applyFont="1" applyAlignment="1">
      <alignment horizontal="center"/>
    </xf>
    <xf numFmtId="0" fontId="19" fillId="17" borderId="24" xfId="3" applyFont="1" applyFill="1" applyBorder="1" applyAlignment="1">
      <alignment horizontal="center"/>
    </xf>
    <xf numFmtId="0" fontId="20" fillId="0" borderId="0" xfId="0" applyFont="1"/>
    <xf numFmtId="0" fontId="20" fillId="3" borderId="0" xfId="0" applyFont="1" applyFill="1"/>
    <xf numFmtId="0" fontId="5" fillId="4" borderId="29" xfId="1" applyBorder="1" applyProtection="1">
      <protection locked="0"/>
    </xf>
    <xf numFmtId="0" fontId="5" fillId="4" borderId="29" xfId="1" applyBorder="1"/>
    <xf numFmtId="164" fontId="5" fillId="4" borderId="29" xfId="1" applyNumberFormat="1" applyBorder="1"/>
    <xf numFmtId="14" fontId="5" fillId="4" borderId="29" xfId="1" applyNumberFormat="1" applyBorder="1" applyProtection="1">
      <protection locked="0"/>
    </xf>
    <xf numFmtId="164" fontId="5" fillId="4" borderId="29" xfId="1" applyNumberFormat="1" applyBorder="1" applyProtection="1">
      <protection locked="0"/>
    </xf>
    <xf numFmtId="0" fontId="5" fillId="4" borderId="26" xfId="1" applyBorder="1" applyAlignment="1" applyProtection="1">
      <alignment horizontal="center"/>
      <protection locked="0"/>
    </xf>
    <xf numFmtId="0" fontId="5" fillId="4" borderId="13" xfId="1" applyBorder="1" applyAlignment="1" applyProtection="1">
      <alignment horizontal="center"/>
      <protection locked="0"/>
    </xf>
    <xf numFmtId="0" fontId="5" fillId="4" borderId="27" xfId="1" applyBorder="1" applyAlignment="1" applyProtection="1">
      <alignment horizontal="center"/>
      <protection locked="0"/>
    </xf>
    <xf numFmtId="0" fontId="10" fillId="8" borderId="22" xfId="2" applyFont="1" applyBorder="1" applyAlignment="1">
      <alignment horizontal="center"/>
    </xf>
    <xf numFmtId="0" fontId="10" fillId="8" borderId="23" xfId="2" applyFont="1" applyBorder="1" applyAlignment="1">
      <alignment horizontal="center"/>
    </xf>
    <xf numFmtId="0" fontId="10" fillId="8" borderId="14" xfId="2" applyFont="1" applyBorder="1" applyAlignment="1">
      <alignment horizontal="center"/>
    </xf>
    <xf numFmtId="1" fontId="1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28" xfId="0" applyNumberFormat="1" applyBorder="1" applyAlignment="1">
      <alignment horizontal="center"/>
    </xf>
  </cellXfs>
  <cellStyles count="7">
    <cellStyle name="Bad" xfId="2" builtinId="27"/>
    <cellStyle name="Check Cell" xfId="3" builtinId="23"/>
    <cellStyle name="Good" xfId="1" builtinId="26"/>
    <cellStyle name="Neutral" xfId="6" builtinId="28"/>
    <cellStyle name="Normal" xfId="0" builtinId="0"/>
    <cellStyle name="Normal 2" xfId="4" xr:uid="{00000000-0005-0000-0000-000005000000}"/>
    <cellStyle name="Normal 3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7"/>
  <sheetViews>
    <sheetView zoomScaleNormal="100" workbookViewId="0">
      <pane ySplit="1" topLeftCell="A173" activePane="bottomLeft" state="frozen"/>
      <selection pane="bottomLeft" activeCell="A181" sqref="A181"/>
    </sheetView>
  </sheetViews>
  <sheetFormatPr defaultColWidth="11.42578125" defaultRowHeight="15.75" x14ac:dyDescent="0.25"/>
  <cols>
    <col min="1" max="1" width="74.5703125" style="15" customWidth="1"/>
    <col min="2" max="2" width="7.140625" style="15" customWidth="1"/>
    <col min="3" max="4" width="10.140625" style="15" customWidth="1"/>
    <col min="5" max="5" width="65" style="15" customWidth="1"/>
    <col min="6" max="16384" width="11.42578125" style="15"/>
  </cols>
  <sheetData>
    <row r="1" spans="1:5" ht="16.149999999999999" thickBot="1" x14ac:dyDescent="0.35">
      <c r="A1" s="13" t="s">
        <v>0</v>
      </c>
      <c r="B1" s="14" t="s">
        <v>1</v>
      </c>
      <c r="C1" s="14" t="s">
        <v>2</v>
      </c>
      <c r="D1" s="28" t="s">
        <v>124</v>
      </c>
      <c r="E1" s="29" t="s">
        <v>56</v>
      </c>
    </row>
    <row r="2" spans="1:5" ht="15.6" x14ac:dyDescent="0.3">
      <c r="A2" s="1" t="s">
        <v>3</v>
      </c>
      <c r="B2" s="2">
        <v>0</v>
      </c>
      <c r="C2" s="3">
        <v>28.5</v>
      </c>
      <c r="D2" s="30">
        <v>1</v>
      </c>
      <c r="E2" s="16" t="s">
        <v>78</v>
      </c>
    </row>
    <row r="3" spans="1:5" ht="15.6" x14ac:dyDescent="0.3">
      <c r="A3" s="4" t="s">
        <v>4</v>
      </c>
      <c r="B3" s="5">
        <v>0</v>
      </c>
      <c r="C3" s="6">
        <v>28.5</v>
      </c>
      <c r="D3" s="31">
        <v>1</v>
      </c>
      <c r="E3" s="17" t="s">
        <v>78</v>
      </c>
    </row>
    <row r="4" spans="1:5" ht="15.6" x14ac:dyDescent="0.3">
      <c r="A4" s="7" t="s">
        <v>5</v>
      </c>
      <c r="B4" s="8">
        <v>0</v>
      </c>
      <c r="C4" s="9">
        <v>28.5</v>
      </c>
      <c r="D4" s="30">
        <v>1</v>
      </c>
      <c r="E4" s="18" t="s">
        <v>78</v>
      </c>
    </row>
    <row r="5" spans="1:5" ht="15.6" x14ac:dyDescent="0.3">
      <c r="A5" s="4" t="s">
        <v>6</v>
      </c>
      <c r="B5" s="5">
        <v>0</v>
      </c>
      <c r="C5" s="6">
        <v>28.5</v>
      </c>
      <c r="D5" s="31">
        <v>1</v>
      </c>
      <c r="E5" s="17" t="s">
        <v>78</v>
      </c>
    </row>
    <row r="6" spans="1:5" ht="15.6" x14ac:dyDescent="0.3">
      <c r="A6" s="7" t="s">
        <v>7</v>
      </c>
      <c r="B6" s="8">
        <v>0</v>
      </c>
      <c r="C6" s="9">
        <v>60</v>
      </c>
      <c r="D6" s="32">
        <v>2</v>
      </c>
      <c r="E6" s="18" t="s">
        <v>80</v>
      </c>
    </row>
    <row r="7" spans="1:5" ht="15.6" x14ac:dyDescent="0.3">
      <c r="A7" s="4" t="s">
        <v>8</v>
      </c>
      <c r="B7" s="5">
        <v>0</v>
      </c>
      <c r="C7" s="6">
        <v>60</v>
      </c>
      <c r="D7" s="32">
        <v>2</v>
      </c>
      <c r="E7" s="17" t="s">
        <v>81</v>
      </c>
    </row>
    <row r="8" spans="1:5" ht="15.6" x14ac:dyDescent="0.3">
      <c r="A8" s="7" t="s">
        <v>9</v>
      </c>
      <c r="B8" s="8">
        <v>0</v>
      </c>
      <c r="C8" s="9">
        <v>60</v>
      </c>
      <c r="D8" s="32">
        <v>3</v>
      </c>
      <c r="E8" s="18" t="s">
        <v>163</v>
      </c>
    </row>
    <row r="9" spans="1:5" ht="15.6" x14ac:dyDescent="0.3">
      <c r="A9" s="4" t="s">
        <v>10</v>
      </c>
      <c r="B9" s="5">
        <v>0</v>
      </c>
      <c r="C9" s="6">
        <v>65</v>
      </c>
      <c r="D9" s="32">
        <v>3</v>
      </c>
      <c r="E9" s="17" t="s">
        <v>137</v>
      </c>
    </row>
    <row r="10" spans="1:5" ht="15.6" x14ac:dyDescent="0.3">
      <c r="A10" s="7" t="s">
        <v>11</v>
      </c>
      <c r="B10" s="8">
        <v>0</v>
      </c>
      <c r="C10" s="9">
        <v>73</v>
      </c>
      <c r="D10" s="33">
        <v>2</v>
      </c>
      <c r="E10" s="18" t="s">
        <v>127</v>
      </c>
    </row>
    <row r="11" spans="1:5" ht="15.6" x14ac:dyDescent="0.3">
      <c r="A11" t="s">
        <v>12</v>
      </c>
      <c r="B11" s="5">
        <v>0</v>
      </c>
      <c r="C11" s="6">
        <v>85</v>
      </c>
      <c r="D11" s="34">
        <v>1</v>
      </c>
      <c r="E11" s="18" t="s">
        <v>119</v>
      </c>
    </row>
    <row r="12" spans="1:5" ht="15.6" x14ac:dyDescent="0.3">
      <c r="A12" s="27" t="s">
        <v>13</v>
      </c>
      <c r="B12" s="8">
        <v>0</v>
      </c>
      <c r="C12" s="9">
        <v>85</v>
      </c>
      <c r="D12" s="32">
        <v>1</v>
      </c>
      <c r="E12" s="18" t="s">
        <v>119</v>
      </c>
    </row>
    <row r="13" spans="1:5" x14ac:dyDescent="0.25">
      <c r="A13" s="4" t="s">
        <v>14</v>
      </c>
      <c r="B13" s="5">
        <v>1</v>
      </c>
      <c r="C13" s="6">
        <v>40</v>
      </c>
      <c r="D13" s="31">
        <v>2</v>
      </c>
      <c r="E13" s="17" t="s">
        <v>79</v>
      </c>
    </row>
    <row r="14" spans="1:5" ht="15.6" x14ac:dyDescent="0.3">
      <c r="A14" s="7" t="s">
        <v>15</v>
      </c>
      <c r="B14" s="8">
        <v>0</v>
      </c>
      <c r="C14" s="9">
        <v>100</v>
      </c>
      <c r="D14" s="32">
        <v>1</v>
      </c>
      <c r="E14" s="18" t="s">
        <v>83</v>
      </c>
    </row>
    <row r="15" spans="1:5" ht="15.6" x14ac:dyDescent="0.3">
      <c r="A15" s="4" t="s">
        <v>16</v>
      </c>
      <c r="B15" s="5">
        <v>0</v>
      </c>
      <c r="C15" s="6">
        <v>75</v>
      </c>
      <c r="D15" s="32">
        <v>1</v>
      </c>
      <c r="E15" s="17" t="s">
        <v>83</v>
      </c>
    </row>
    <row r="16" spans="1:5" ht="15.6" x14ac:dyDescent="0.3">
      <c r="A16" s="27" t="s">
        <v>17</v>
      </c>
      <c r="B16" s="8">
        <v>0</v>
      </c>
      <c r="C16" s="9">
        <v>65</v>
      </c>
      <c r="D16" s="32">
        <v>1</v>
      </c>
      <c r="E16" s="18" t="s">
        <v>107</v>
      </c>
    </row>
    <row r="17" spans="1:5" ht="15.6" x14ac:dyDescent="0.3">
      <c r="A17" s="4" t="s">
        <v>18</v>
      </c>
      <c r="B17" s="5">
        <v>0</v>
      </c>
      <c r="C17" s="6">
        <v>65</v>
      </c>
      <c r="D17" s="31">
        <v>2</v>
      </c>
      <c r="E17" s="17" t="s">
        <v>78</v>
      </c>
    </row>
    <row r="18" spans="1:5" x14ac:dyDescent="0.25">
      <c r="A18" s="7" t="s">
        <v>19</v>
      </c>
      <c r="B18" s="8">
        <v>0</v>
      </c>
      <c r="C18" s="9">
        <v>95</v>
      </c>
      <c r="D18" s="33">
        <v>2</v>
      </c>
      <c r="E18" s="18" t="s">
        <v>78</v>
      </c>
    </row>
    <row r="19" spans="1:5" ht="15.6" x14ac:dyDescent="0.3">
      <c r="A19" s="4" t="s">
        <v>20</v>
      </c>
      <c r="B19" s="5">
        <v>0</v>
      </c>
      <c r="C19" s="6">
        <v>60</v>
      </c>
      <c r="D19" s="32">
        <v>1</v>
      </c>
      <c r="E19" s="17" t="s">
        <v>84</v>
      </c>
    </row>
    <row r="20" spans="1:5" ht="15.6" x14ac:dyDescent="0.3">
      <c r="A20" s="27" t="s">
        <v>21</v>
      </c>
      <c r="B20" s="8">
        <v>0</v>
      </c>
      <c r="C20" s="9">
        <v>55</v>
      </c>
      <c r="D20" s="32">
        <v>2</v>
      </c>
      <c r="E20" s="18" t="s">
        <v>105</v>
      </c>
    </row>
    <row r="21" spans="1:5" ht="15.6" x14ac:dyDescent="0.3">
      <c r="A21" s="4" t="s">
        <v>22</v>
      </c>
      <c r="B21" s="5">
        <v>0</v>
      </c>
      <c r="C21" s="6">
        <v>100</v>
      </c>
      <c r="D21" s="31">
        <v>1</v>
      </c>
      <c r="E21" s="17" t="s">
        <v>78</v>
      </c>
    </row>
    <row r="22" spans="1:5" ht="15.6" x14ac:dyDescent="0.3">
      <c r="A22" s="7" t="s">
        <v>23</v>
      </c>
      <c r="B22" s="8">
        <v>1</v>
      </c>
      <c r="C22" s="9">
        <v>55</v>
      </c>
      <c r="D22" s="32">
        <v>1</v>
      </c>
      <c r="E22" s="18" t="s">
        <v>82</v>
      </c>
    </row>
    <row r="23" spans="1:5" ht="15.6" x14ac:dyDescent="0.3">
      <c r="A23" s="4" t="s">
        <v>24</v>
      </c>
      <c r="B23" s="5">
        <v>0</v>
      </c>
      <c r="C23" s="6">
        <v>55</v>
      </c>
      <c r="D23" s="31">
        <v>2</v>
      </c>
      <c r="E23" s="17" t="s">
        <v>79</v>
      </c>
    </row>
    <row r="24" spans="1:5" ht="15.6" x14ac:dyDescent="0.3">
      <c r="A24" s="27" t="s">
        <v>25</v>
      </c>
      <c r="B24" s="8">
        <v>0</v>
      </c>
      <c r="C24" s="9">
        <v>65</v>
      </c>
      <c r="D24" s="32">
        <v>2</v>
      </c>
      <c r="E24" s="18" t="s">
        <v>145</v>
      </c>
    </row>
    <row r="25" spans="1:5" ht="15.6" x14ac:dyDescent="0.3">
      <c r="A25" s="4" t="s">
        <v>26</v>
      </c>
      <c r="B25" s="5">
        <v>0</v>
      </c>
      <c r="C25" s="6">
        <v>90</v>
      </c>
      <c r="D25" s="31">
        <v>1</v>
      </c>
      <c r="E25" s="17" t="s">
        <v>78</v>
      </c>
    </row>
    <row r="26" spans="1:5" ht="15.6" x14ac:dyDescent="0.3">
      <c r="A26" s="7" t="s">
        <v>27</v>
      </c>
      <c r="B26" s="8">
        <v>2</v>
      </c>
      <c r="C26" s="9">
        <v>45</v>
      </c>
      <c r="D26" s="33">
        <v>0</v>
      </c>
      <c r="E26" s="18" t="s">
        <v>106</v>
      </c>
    </row>
    <row r="27" spans="1:5" ht="15.6" x14ac:dyDescent="0.3">
      <c r="A27" s="4" t="s">
        <v>28</v>
      </c>
      <c r="B27" s="5">
        <v>4</v>
      </c>
      <c r="C27" s="6">
        <v>45</v>
      </c>
      <c r="D27" s="31">
        <v>0</v>
      </c>
      <c r="E27" s="17" t="s">
        <v>125</v>
      </c>
    </row>
    <row r="28" spans="1:5" ht="15.6" x14ac:dyDescent="0.3">
      <c r="A28" s="7" t="s">
        <v>29</v>
      </c>
      <c r="B28" s="8">
        <v>4</v>
      </c>
      <c r="C28" s="9">
        <v>45</v>
      </c>
      <c r="D28" s="33">
        <v>0</v>
      </c>
      <c r="E28" s="18" t="s">
        <v>360</v>
      </c>
    </row>
    <row r="29" spans="1:5" ht="15.6" x14ac:dyDescent="0.3">
      <c r="A29" s="4" t="s">
        <v>30</v>
      </c>
      <c r="B29" s="5">
        <v>4</v>
      </c>
      <c r="C29" s="6">
        <v>45</v>
      </c>
      <c r="D29" s="31">
        <v>1</v>
      </c>
      <c r="E29" s="17" t="s">
        <v>130</v>
      </c>
    </row>
    <row r="30" spans="1:5" ht="15.6" x14ac:dyDescent="0.3">
      <c r="A30" s="7" t="s">
        <v>31</v>
      </c>
      <c r="B30" s="8">
        <v>4</v>
      </c>
      <c r="C30" s="9">
        <v>45</v>
      </c>
      <c r="D30" s="32">
        <v>3</v>
      </c>
      <c r="E30" s="18" t="s">
        <v>132</v>
      </c>
    </row>
    <row r="31" spans="1:5" ht="15.6" x14ac:dyDescent="0.3">
      <c r="A31" s="4" t="s">
        <v>32</v>
      </c>
      <c r="B31" s="5">
        <v>4</v>
      </c>
      <c r="C31" s="6">
        <v>45</v>
      </c>
      <c r="D31" s="32">
        <v>2</v>
      </c>
      <c r="E31" s="17" t="s">
        <v>116</v>
      </c>
    </row>
    <row r="32" spans="1:5" ht="15.6" x14ac:dyDescent="0.3">
      <c r="A32" s="7" t="s">
        <v>33</v>
      </c>
      <c r="B32" s="8">
        <v>0</v>
      </c>
      <c r="C32" s="9">
        <v>130</v>
      </c>
      <c r="D32" s="32">
        <v>1</v>
      </c>
      <c r="E32" s="18" t="s">
        <v>85</v>
      </c>
    </row>
    <row r="33" spans="1:5" ht="15.6" x14ac:dyDescent="0.3">
      <c r="A33" s="4" t="s">
        <v>34</v>
      </c>
      <c r="B33" s="5">
        <v>0</v>
      </c>
      <c r="C33" s="6">
        <v>65</v>
      </c>
      <c r="D33" s="31" t="s">
        <v>78</v>
      </c>
      <c r="E33" s="17" t="s">
        <v>126</v>
      </c>
    </row>
    <row r="34" spans="1:5" ht="15.6" x14ac:dyDescent="0.3">
      <c r="A34" s="7" t="s">
        <v>35</v>
      </c>
      <c r="B34" s="8">
        <v>0</v>
      </c>
      <c r="C34" s="9">
        <v>60</v>
      </c>
      <c r="D34" s="32">
        <v>2</v>
      </c>
      <c r="E34" s="18" t="s">
        <v>141</v>
      </c>
    </row>
    <row r="35" spans="1:5" ht="15.6" x14ac:dyDescent="0.3">
      <c r="A35" t="s">
        <v>36</v>
      </c>
      <c r="B35" s="5">
        <v>0</v>
      </c>
      <c r="C35" s="6">
        <v>40</v>
      </c>
      <c r="D35" s="32">
        <v>4</v>
      </c>
      <c r="E35" s="17" t="s">
        <v>113</v>
      </c>
    </row>
    <row r="36" spans="1:5" ht="15.6" x14ac:dyDescent="0.3">
      <c r="A36" s="7" t="s">
        <v>37</v>
      </c>
      <c r="B36" s="8">
        <v>0</v>
      </c>
      <c r="C36" s="9">
        <v>40</v>
      </c>
      <c r="D36" s="33">
        <v>2</v>
      </c>
      <c r="E36" s="18" t="s">
        <v>140</v>
      </c>
    </row>
    <row r="37" spans="1:5" ht="15.6" x14ac:dyDescent="0.3">
      <c r="A37" s="4" t="s">
        <v>38</v>
      </c>
      <c r="B37" s="5">
        <v>0</v>
      </c>
      <c r="C37" s="6">
        <v>40</v>
      </c>
      <c r="D37" s="31">
        <v>0</v>
      </c>
      <c r="E37" s="17" t="s">
        <v>139</v>
      </c>
    </row>
    <row r="38" spans="1:5" ht="15.6" x14ac:dyDescent="0.3">
      <c r="A38" s="27" t="s">
        <v>39</v>
      </c>
      <c r="B38" s="8">
        <v>0</v>
      </c>
      <c r="C38" s="9">
        <v>30</v>
      </c>
      <c r="D38" s="32">
        <v>1</v>
      </c>
      <c r="E38" s="18" t="s">
        <v>87</v>
      </c>
    </row>
    <row r="39" spans="1:5" ht="15.6" x14ac:dyDescent="0.3">
      <c r="A39" s="27" t="s">
        <v>40</v>
      </c>
      <c r="B39" s="5">
        <v>0</v>
      </c>
      <c r="C39" s="6">
        <v>30</v>
      </c>
      <c r="D39" s="32">
        <v>1</v>
      </c>
      <c r="E39" s="17" t="s">
        <v>88</v>
      </c>
    </row>
    <row r="40" spans="1:5" x14ac:dyDescent="0.25">
      <c r="A40" s="27" t="s">
        <v>41</v>
      </c>
      <c r="B40" s="8">
        <v>0</v>
      </c>
      <c r="C40" s="9">
        <v>55</v>
      </c>
      <c r="D40" s="32">
        <v>3</v>
      </c>
      <c r="E40" s="18" t="s">
        <v>138</v>
      </c>
    </row>
    <row r="41" spans="1:5" x14ac:dyDescent="0.25">
      <c r="A41" s="27" t="s">
        <v>42</v>
      </c>
      <c r="B41" s="5">
        <v>2</v>
      </c>
      <c r="C41" s="6">
        <v>55</v>
      </c>
      <c r="D41" s="32">
        <v>1</v>
      </c>
      <c r="E41" s="17" t="s">
        <v>86</v>
      </c>
    </row>
    <row r="42" spans="1:5" x14ac:dyDescent="0.25">
      <c r="A42" s="7" t="s">
        <v>43</v>
      </c>
      <c r="B42" s="8">
        <v>0</v>
      </c>
      <c r="C42" s="9">
        <v>85</v>
      </c>
      <c r="D42" s="33">
        <v>0</v>
      </c>
      <c r="E42" s="18" t="s">
        <v>142</v>
      </c>
    </row>
    <row r="43" spans="1:5" x14ac:dyDescent="0.25">
      <c r="A43" s="4" t="s">
        <v>44</v>
      </c>
      <c r="B43" s="5">
        <v>0</v>
      </c>
      <c r="C43" s="6">
        <v>50</v>
      </c>
      <c r="D43" s="34">
        <v>0</v>
      </c>
      <c r="E43" s="17" t="s">
        <v>142</v>
      </c>
    </row>
    <row r="44" spans="1:5" x14ac:dyDescent="0.25">
      <c r="A44" s="7" t="s">
        <v>45</v>
      </c>
      <c r="B44" s="8">
        <v>0</v>
      </c>
      <c r="C44" s="9">
        <v>50</v>
      </c>
      <c r="D44" s="33">
        <v>3</v>
      </c>
      <c r="E44" s="18" t="s">
        <v>288</v>
      </c>
    </row>
    <row r="45" spans="1:5" x14ac:dyDescent="0.25">
      <c r="A45" s="27" t="s">
        <v>46</v>
      </c>
      <c r="B45" s="5">
        <v>2</v>
      </c>
      <c r="C45" s="6">
        <v>45</v>
      </c>
      <c r="D45" s="32">
        <v>2</v>
      </c>
      <c r="E45" s="17" t="s">
        <v>99</v>
      </c>
    </row>
    <row r="46" spans="1:5" x14ac:dyDescent="0.25">
      <c r="A46" s="7" t="s">
        <v>47</v>
      </c>
      <c r="B46" s="8">
        <v>2</v>
      </c>
      <c r="C46" s="9">
        <v>50</v>
      </c>
      <c r="D46" s="32">
        <v>1</v>
      </c>
      <c r="E46" s="18" t="s">
        <v>110</v>
      </c>
    </row>
    <row r="47" spans="1:5" x14ac:dyDescent="0.25">
      <c r="A47" s="4" t="s">
        <v>48</v>
      </c>
      <c r="B47" s="5">
        <v>2</v>
      </c>
      <c r="C47" s="6">
        <v>60</v>
      </c>
      <c r="D47" s="31">
        <v>0</v>
      </c>
      <c r="E47" s="17" t="s">
        <v>125</v>
      </c>
    </row>
    <row r="48" spans="1:5" x14ac:dyDescent="0.25">
      <c r="A48" s="7" t="s">
        <v>49</v>
      </c>
      <c r="B48" s="8">
        <v>2</v>
      </c>
      <c r="C48" s="9">
        <v>45</v>
      </c>
      <c r="D48" s="32">
        <v>1</v>
      </c>
      <c r="E48" s="18" t="s">
        <v>89</v>
      </c>
    </row>
    <row r="49" spans="1:5" x14ac:dyDescent="0.25">
      <c r="A49" s="27" t="s">
        <v>50</v>
      </c>
      <c r="B49" s="5">
        <v>2</v>
      </c>
      <c r="C49" s="6">
        <v>45</v>
      </c>
      <c r="D49" s="32">
        <v>2</v>
      </c>
      <c r="E49" s="17" t="s">
        <v>150</v>
      </c>
    </row>
    <row r="50" spans="1:5" x14ac:dyDescent="0.25">
      <c r="A50" s="7" t="s">
        <v>51</v>
      </c>
      <c r="B50" s="8">
        <v>0</v>
      </c>
      <c r="C50" s="9">
        <v>45</v>
      </c>
      <c r="D50" s="33">
        <v>2</v>
      </c>
      <c r="E50" s="18" t="s">
        <v>274</v>
      </c>
    </row>
    <row r="51" spans="1:5" x14ac:dyDescent="0.25">
      <c r="A51" s="4" t="s">
        <v>52</v>
      </c>
      <c r="B51" s="5">
        <v>2</v>
      </c>
      <c r="C51" s="6">
        <v>45</v>
      </c>
      <c r="D51" s="31">
        <v>0</v>
      </c>
      <c r="E51" s="17" t="s">
        <v>143</v>
      </c>
    </row>
    <row r="52" spans="1:5" x14ac:dyDescent="0.25">
      <c r="A52" s="7" t="s">
        <v>53</v>
      </c>
      <c r="B52" s="8">
        <v>2</v>
      </c>
      <c r="C52" s="9">
        <v>45</v>
      </c>
      <c r="D52" s="32">
        <v>1</v>
      </c>
      <c r="E52" s="18" t="s">
        <v>89</v>
      </c>
    </row>
    <row r="53" spans="1:5" x14ac:dyDescent="0.25">
      <c r="A53" s="4" t="s">
        <v>54</v>
      </c>
      <c r="B53" s="5">
        <v>0</v>
      </c>
      <c r="C53" s="6">
        <v>60</v>
      </c>
      <c r="D53" s="32">
        <v>2</v>
      </c>
      <c r="E53" s="17" t="s">
        <v>151</v>
      </c>
    </row>
    <row r="54" spans="1:5" ht="16.5" thickBot="1" x14ac:dyDescent="0.3">
      <c r="A54" s="10" t="s">
        <v>55</v>
      </c>
      <c r="B54" s="11">
        <v>0</v>
      </c>
      <c r="C54" s="12">
        <v>65</v>
      </c>
      <c r="D54" s="35">
        <v>0</v>
      </c>
      <c r="E54" s="19" t="s">
        <v>78</v>
      </c>
    </row>
    <row r="55" spans="1:5" x14ac:dyDescent="0.25">
      <c r="A55" s="27" t="s">
        <v>92</v>
      </c>
      <c r="B55" s="54">
        <v>1</v>
      </c>
      <c r="C55" s="55">
        <v>50</v>
      </c>
      <c r="D55" s="32">
        <v>0</v>
      </c>
      <c r="E55" s="56" t="s">
        <v>153</v>
      </c>
    </row>
    <row r="56" spans="1:5" x14ac:dyDescent="0.25">
      <c r="A56" s="61" t="s">
        <v>161</v>
      </c>
      <c r="B56" s="62">
        <v>0</v>
      </c>
      <c r="C56" s="63">
        <v>55</v>
      </c>
      <c r="D56" s="64"/>
      <c r="E56" s="56"/>
    </row>
    <row r="57" spans="1:5" ht="16.5" thickBot="1" x14ac:dyDescent="0.3">
      <c r="A57" s="57" t="s">
        <v>97</v>
      </c>
      <c r="B57" s="58">
        <v>0</v>
      </c>
      <c r="C57" s="59">
        <v>40</v>
      </c>
      <c r="D57" s="60"/>
      <c r="E57" s="56" t="s">
        <v>153</v>
      </c>
    </row>
    <row r="58" spans="1:5" x14ac:dyDescent="0.25">
      <c r="A58" s="61" t="s">
        <v>186</v>
      </c>
      <c r="B58" s="62">
        <v>0</v>
      </c>
      <c r="C58" s="63">
        <v>50</v>
      </c>
      <c r="D58" s="64"/>
      <c r="E58" s="56" t="s">
        <v>153</v>
      </c>
    </row>
    <row r="59" spans="1:5" x14ac:dyDescent="0.25">
      <c r="A59" s="27" t="s">
        <v>134</v>
      </c>
      <c r="B59" s="54">
        <v>0</v>
      </c>
      <c r="C59" s="55">
        <v>55</v>
      </c>
      <c r="D59" s="32"/>
      <c r="E59" s="56" t="s">
        <v>152</v>
      </c>
    </row>
    <row r="60" spans="1:5" x14ac:dyDescent="0.25">
      <c r="A60" s="4" t="s">
        <v>179</v>
      </c>
      <c r="B60" s="5">
        <v>1</v>
      </c>
      <c r="C60" s="6">
        <v>55</v>
      </c>
      <c r="D60" s="32"/>
      <c r="E60" s="17"/>
    </row>
    <row r="61" spans="1:5" ht="16.5" thickBot="1" x14ac:dyDescent="0.3">
      <c r="A61" s="10" t="s">
        <v>180</v>
      </c>
      <c r="B61" s="11">
        <v>2</v>
      </c>
      <c r="C61" s="12">
        <v>60</v>
      </c>
      <c r="D61" s="35"/>
      <c r="E61" s="19"/>
    </row>
    <row r="62" spans="1:5" x14ac:dyDescent="0.25">
      <c r="A62" s="4" t="s">
        <v>181</v>
      </c>
      <c r="B62" s="5">
        <v>2</v>
      </c>
      <c r="C62" s="6">
        <v>60</v>
      </c>
      <c r="D62" s="32"/>
      <c r="E62" s="17"/>
    </row>
    <row r="63" spans="1:5" ht="16.5" thickBot="1" x14ac:dyDescent="0.3">
      <c r="A63" s="10" t="s">
        <v>182</v>
      </c>
      <c r="B63" s="11">
        <v>1</v>
      </c>
      <c r="C63" s="12">
        <v>60</v>
      </c>
      <c r="D63" s="35"/>
      <c r="E63" s="19"/>
    </row>
    <row r="64" spans="1:5" x14ac:dyDescent="0.25">
      <c r="A64" s="4" t="s">
        <v>183</v>
      </c>
      <c r="B64" s="5">
        <v>2</v>
      </c>
      <c r="C64" s="6">
        <v>60</v>
      </c>
      <c r="D64" s="32"/>
      <c r="E64" s="17"/>
    </row>
    <row r="65" spans="1:5" ht="16.5" thickBot="1" x14ac:dyDescent="0.3">
      <c r="A65" s="10" t="s">
        <v>184</v>
      </c>
      <c r="B65" s="11">
        <v>1</v>
      </c>
      <c r="C65" s="12">
        <v>65</v>
      </c>
      <c r="D65" s="35"/>
      <c r="E65" s="19"/>
    </row>
    <row r="66" spans="1:5" x14ac:dyDescent="0.25">
      <c r="A66" s="4" t="s">
        <v>185</v>
      </c>
      <c r="B66" s="5">
        <v>0</v>
      </c>
      <c r="C66" s="6">
        <v>60</v>
      </c>
      <c r="D66" s="32">
        <v>1</v>
      </c>
      <c r="E66" s="17" t="s">
        <v>266</v>
      </c>
    </row>
    <row r="67" spans="1:5" ht="16.5" thickBot="1" x14ac:dyDescent="0.3">
      <c r="A67" s="10" t="s">
        <v>184</v>
      </c>
      <c r="B67" s="11">
        <v>1</v>
      </c>
      <c r="C67" s="12">
        <v>55</v>
      </c>
      <c r="D67" s="35"/>
      <c r="E67" s="19"/>
    </row>
    <row r="68" spans="1:5" x14ac:dyDescent="0.25">
      <c r="A68" s="4" t="s">
        <v>187</v>
      </c>
      <c r="B68" s="5">
        <v>1</v>
      </c>
      <c r="C68" s="6">
        <v>45</v>
      </c>
      <c r="D68" s="32"/>
      <c r="E68" s="17"/>
    </row>
    <row r="69" spans="1:5" ht="16.5" thickBot="1" x14ac:dyDescent="0.3">
      <c r="A69" s="10" t="s">
        <v>188</v>
      </c>
      <c r="B69" s="11">
        <v>2</v>
      </c>
      <c r="C69" s="12">
        <v>45</v>
      </c>
      <c r="D69" s="35"/>
      <c r="E69" s="19"/>
    </row>
    <row r="70" spans="1:5" x14ac:dyDescent="0.25">
      <c r="A70" s="4" t="s">
        <v>180</v>
      </c>
      <c r="B70" s="5">
        <v>2</v>
      </c>
      <c r="C70" s="6">
        <v>50</v>
      </c>
      <c r="D70" s="32"/>
      <c r="E70" s="17"/>
    </row>
    <row r="71" spans="1:5" ht="16.5" thickBot="1" x14ac:dyDescent="0.3">
      <c r="A71" s="10" t="s">
        <v>181</v>
      </c>
      <c r="B71" s="11">
        <v>2</v>
      </c>
      <c r="C71" s="12">
        <v>60</v>
      </c>
      <c r="D71" s="35"/>
      <c r="E71" s="19"/>
    </row>
    <row r="72" spans="1:5" x14ac:dyDescent="0.25">
      <c r="A72" s="4" t="s">
        <v>182</v>
      </c>
      <c r="B72" s="5">
        <v>1</v>
      </c>
      <c r="C72" s="6">
        <v>60</v>
      </c>
      <c r="D72" s="32"/>
      <c r="E72" s="17"/>
    </row>
    <row r="73" spans="1:5" ht="16.5" thickBot="1" x14ac:dyDescent="0.3">
      <c r="A73" s="10" t="s">
        <v>195</v>
      </c>
      <c r="B73" s="11">
        <v>1</v>
      </c>
      <c r="C73" s="12">
        <v>40</v>
      </c>
      <c r="D73" s="35"/>
      <c r="E73" s="19"/>
    </row>
    <row r="74" spans="1:5" x14ac:dyDescent="0.25">
      <c r="A74" s="4" t="s">
        <v>285</v>
      </c>
      <c r="B74" s="5">
        <v>0</v>
      </c>
      <c r="C74" s="6">
        <v>60</v>
      </c>
      <c r="D74" s="32">
        <v>1</v>
      </c>
      <c r="E74" s="17" t="s">
        <v>286</v>
      </c>
    </row>
    <row r="75" spans="1:5" ht="16.5" thickBot="1" x14ac:dyDescent="0.3">
      <c r="A75" s="10" t="s">
        <v>234</v>
      </c>
      <c r="B75" s="11">
        <f>SUM(B2:B74)</f>
        <v>60</v>
      </c>
      <c r="C75" s="12"/>
      <c r="D75" s="35">
        <f>SUM(D2:D74)</f>
        <v>74</v>
      </c>
      <c r="E75" s="19"/>
    </row>
    <row r="76" spans="1:5" ht="16.5" thickTop="1" x14ac:dyDescent="0.25">
      <c r="A76" s="100" t="s">
        <v>233</v>
      </c>
      <c r="B76" s="99"/>
      <c r="C76" s="99"/>
      <c r="D76" s="99"/>
      <c r="E76" s="100" t="s">
        <v>232</v>
      </c>
    </row>
    <row r="77" spans="1:5" x14ac:dyDescent="0.25">
      <c r="A77" s="54" t="s">
        <v>200</v>
      </c>
      <c r="B77" s="54">
        <v>0</v>
      </c>
      <c r="C77" s="55">
        <v>65</v>
      </c>
      <c r="D77" s="104">
        <v>1</v>
      </c>
      <c r="E77" s="55" t="s">
        <v>236</v>
      </c>
    </row>
    <row r="78" spans="1:5" x14ac:dyDescent="0.25">
      <c r="A78" s="54" t="s">
        <v>10</v>
      </c>
      <c r="B78" s="54">
        <v>0</v>
      </c>
      <c r="C78" s="55">
        <v>65</v>
      </c>
      <c r="D78" s="104">
        <v>3</v>
      </c>
      <c r="E78" s="55" t="s">
        <v>275</v>
      </c>
    </row>
    <row r="79" spans="1:5" x14ac:dyDescent="0.25">
      <c r="A79" s="54" t="s">
        <v>201</v>
      </c>
      <c r="B79" s="54">
        <v>0</v>
      </c>
      <c r="C79" s="55">
        <v>40</v>
      </c>
      <c r="D79" s="104">
        <v>3</v>
      </c>
      <c r="E79" s="55" t="s">
        <v>352</v>
      </c>
    </row>
    <row r="80" spans="1:5" x14ac:dyDescent="0.25">
      <c r="A80" s="8" t="s">
        <v>202</v>
      </c>
      <c r="B80" s="8">
        <v>1</v>
      </c>
      <c r="C80" s="9">
        <v>55</v>
      </c>
      <c r="D80" s="8">
        <v>1</v>
      </c>
      <c r="E80" s="9" t="s">
        <v>266</v>
      </c>
    </row>
    <row r="81" spans="1:5" x14ac:dyDescent="0.25">
      <c r="A81" s="5" t="s">
        <v>24</v>
      </c>
      <c r="B81" s="5">
        <v>2</v>
      </c>
      <c r="C81" s="6">
        <v>55</v>
      </c>
      <c r="D81" s="5">
        <v>0</v>
      </c>
      <c r="E81" s="6"/>
    </row>
    <row r="82" spans="1:5" x14ac:dyDescent="0.25">
      <c r="A82" s="54" t="s">
        <v>203</v>
      </c>
      <c r="B82" s="54">
        <v>0</v>
      </c>
      <c r="C82" s="55">
        <v>60</v>
      </c>
      <c r="D82" s="104">
        <v>3</v>
      </c>
      <c r="E82" s="55" t="s">
        <v>289</v>
      </c>
    </row>
    <row r="83" spans="1:5" x14ac:dyDescent="0.25">
      <c r="A83" s="5" t="s">
        <v>204</v>
      </c>
      <c r="B83" s="5">
        <v>3</v>
      </c>
      <c r="C83" s="6">
        <v>60</v>
      </c>
      <c r="D83" s="5">
        <v>0</v>
      </c>
      <c r="E83" s="6"/>
    </row>
    <row r="84" spans="1:5" x14ac:dyDescent="0.25">
      <c r="A84" s="117" t="s">
        <v>205</v>
      </c>
      <c r="B84" s="117">
        <v>0</v>
      </c>
      <c r="C84" s="118">
        <v>60</v>
      </c>
      <c r="D84" s="117">
        <v>3</v>
      </c>
      <c r="E84" s="118" t="s">
        <v>281</v>
      </c>
    </row>
    <row r="85" spans="1:5" x14ac:dyDescent="0.25">
      <c r="A85" s="54" t="s">
        <v>206</v>
      </c>
      <c r="B85" s="54">
        <v>0</v>
      </c>
      <c r="C85" s="55">
        <v>65</v>
      </c>
      <c r="D85" s="104">
        <v>3</v>
      </c>
      <c r="E85" s="55" t="s">
        <v>252</v>
      </c>
    </row>
    <row r="86" spans="1:5" x14ac:dyDescent="0.25">
      <c r="A86" s="117" t="s">
        <v>207</v>
      </c>
      <c r="B86" s="117">
        <v>0</v>
      </c>
      <c r="C86" s="118">
        <v>60</v>
      </c>
      <c r="D86" s="117">
        <v>2</v>
      </c>
      <c r="E86" s="118" t="s">
        <v>280</v>
      </c>
    </row>
    <row r="87" spans="1:5" x14ac:dyDescent="0.25">
      <c r="A87" s="5" t="s">
        <v>208</v>
      </c>
      <c r="B87" s="5">
        <v>1</v>
      </c>
      <c r="C87" s="6">
        <v>55</v>
      </c>
      <c r="D87" s="5">
        <v>0</v>
      </c>
      <c r="E87" s="6"/>
    </row>
    <row r="88" spans="1:5" x14ac:dyDescent="0.25">
      <c r="A88" s="54" t="s">
        <v>179</v>
      </c>
      <c r="B88" s="54">
        <v>0</v>
      </c>
      <c r="C88" s="55">
        <v>60</v>
      </c>
      <c r="D88" s="104">
        <v>2</v>
      </c>
      <c r="E88" s="55" t="s">
        <v>354</v>
      </c>
    </row>
    <row r="89" spans="1:5" x14ac:dyDescent="0.25">
      <c r="A89" s="54" t="s">
        <v>209</v>
      </c>
      <c r="B89" s="54">
        <v>0</v>
      </c>
      <c r="C89" s="55">
        <v>20</v>
      </c>
      <c r="D89" s="104">
        <v>1</v>
      </c>
      <c r="E89" s="55" t="s">
        <v>253</v>
      </c>
    </row>
    <row r="90" spans="1:5" x14ac:dyDescent="0.25">
      <c r="A90" s="54" t="s">
        <v>210</v>
      </c>
      <c r="B90" s="54">
        <v>0</v>
      </c>
      <c r="C90" s="55">
        <v>20</v>
      </c>
      <c r="D90" s="104">
        <v>1</v>
      </c>
      <c r="E90" s="55" t="s">
        <v>250</v>
      </c>
    </row>
    <row r="91" spans="1:5" x14ac:dyDescent="0.25">
      <c r="A91" s="105" t="s">
        <v>211</v>
      </c>
      <c r="B91" s="54">
        <v>0</v>
      </c>
      <c r="C91" s="55">
        <v>20</v>
      </c>
      <c r="D91" s="104">
        <v>1</v>
      </c>
      <c r="E91" s="55" t="s">
        <v>274</v>
      </c>
    </row>
    <row r="92" spans="1:5" x14ac:dyDescent="0.25">
      <c r="A92" s="8" t="s">
        <v>212</v>
      </c>
      <c r="B92" s="8">
        <v>1</v>
      </c>
      <c r="C92" s="9">
        <v>20</v>
      </c>
      <c r="D92" s="8">
        <v>0</v>
      </c>
      <c r="E92" s="9"/>
    </row>
    <row r="93" spans="1:5" ht="16.5" customHeight="1" x14ac:dyDescent="0.25">
      <c r="A93" s="105" t="s">
        <v>213</v>
      </c>
      <c r="B93" s="54">
        <v>0</v>
      </c>
      <c r="C93" s="55">
        <v>20</v>
      </c>
      <c r="D93" s="104">
        <v>1</v>
      </c>
      <c r="E93" s="55" t="s">
        <v>238</v>
      </c>
    </row>
    <row r="94" spans="1:5" x14ac:dyDescent="0.25">
      <c r="A94" s="105" t="s">
        <v>214</v>
      </c>
      <c r="B94" s="54">
        <v>0</v>
      </c>
      <c r="C94" s="55">
        <v>20</v>
      </c>
      <c r="D94" s="104">
        <v>1</v>
      </c>
      <c r="E94" s="55" t="s">
        <v>282</v>
      </c>
    </row>
    <row r="95" spans="1:5" x14ac:dyDescent="0.25">
      <c r="A95" s="54" t="s">
        <v>215</v>
      </c>
      <c r="B95" s="54">
        <v>0</v>
      </c>
      <c r="C95" s="55">
        <v>20</v>
      </c>
      <c r="D95" s="104">
        <v>1</v>
      </c>
      <c r="E95" s="55" t="s">
        <v>75</v>
      </c>
    </row>
    <row r="96" spans="1:5" x14ac:dyDescent="0.25">
      <c r="A96" s="54" t="s">
        <v>216</v>
      </c>
      <c r="B96" s="54">
        <v>0</v>
      </c>
      <c r="C96" s="55">
        <v>20</v>
      </c>
      <c r="D96" s="104">
        <v>1</v>
      </c>
      <c r="E96" s="55" t="s">
        <v>240</v>
      </c>
    </row>
    <row r="97" spans="1:5" x14ac:dyDescent="0.25">
      <c r="A97" s="54" t="s">
        <v>217</v>
      </c>
      <c r="B97" s="54">
        <v>0</v>
      </c>
      <c r="C97" s="55">
        <v>20</v>
      </c>
      <c r="D97" s="104">
        <v>1</v>
      </c>
      <c r="E97" s="55" t="s">
        <v>198</v>
      </c>
    </row>
    <row r="98" spans="1:5" x14ac:dyDescent="0.25">
      <c r="A98" s="54" t="s">
        <v>218</v>
      </c>
      <c r="B98" s="54">
        <v>0</v>
      </c>
      <c r="C98" s="55">
        <v>20</v>
      </c>
      <c r="D98" s="104">
        <v>1</v>
      </c>
      <c r="E98" s="55" t="s">
        <v>198</v>
      </c>
    </row>
    <row r="99" spans="1:5" x14ac:dyDescent="0.25">
      <c r="A99" s="5" t="s">
        <v>219</v>
      </c>
      <c r="B99" s="5">
        <v>1</v>
      </c>
      <c r="C99" s="6">
        <v>20</v>
      </c>
      <c r="D99" s="5">
        <v>0</v>
      </c>
      <c r="E99" s="6"/>
    </row>
    <row r="100" spans="1:5" x14ac:dyDescent="0.25">
      <c r="A100" s="105" t="s">
        <v>220</v>
      </c>
      <c r="B100" s="105">
        <v>0</v>
      </c>
      <c r="C100" s="106">
        <v>20</v>
      </c>
      <c r="D100" s="104">
        <v>1</v>
      </c>
      <c r="E100" s="106" t="s">
        <v>253</v>
      </c>
    </row>
    <row r="101" spans="1:5" x14ac:dyDescent="0.25">
      <c r="A101" s="105" t="s">
        <v>221</v>
      </c>
      <c r="B101" s="105">
        <v>0</v>
      </c>
      <c r="C101" s="106">
        <v>15</v>
      </c>
      <c r="D101" s="104">
        <v>2</v>
      </c>
      <c r="E101" s="106" t="s">
        <v>283</v>
      </c>
    </row>
    <row r="102" spans="1:5" x14ac:dyDescent="0.25">
      <c r="A102" s="8" t="s">
        <v>222</v>
      </c>
      <c r="B102" s="8">
        <v>2</v>
      </c>
      <c r="C102" s="9">
        <v>15</v>
      </c>
      <c r="D102" s="8">
        <v>0</v>
      </c>
      <c r="E102" s="9"/>
    </row>
    <row r="103" spans="1:5" x14ac:dyDescent="0.25">
      <c r="A103" s="5" t="s">
        <v>223</v>
      </c>
      <c r="B103" s="5">
        <v>3</v>
      </c>
      <c r="C103" s="6">
        <v>15</v>
      </c>
      <c r="D103" s="5">
        <v>0</v>
      </c>
      <c r="E103" s="6"/>
    </row>
    <row r="104" spans="1:5" x14ac:dyDescent="0.25">
      <c r="A104" s="105" t="s">
        <v>224</v>
      </c>
      <c r="B104" s="105">
        <v>0</v>
      </c>
      <c r="C104" s="106">
        <v>15</v>
      </c>
      <c r="D104" s="104">
        <v>2</v>
      </c>
      <c r="E104" s="106" t="s">
        <v>251</v>
      </c>
    </row>
    <row r="105" spans="1:5" x14ac:dyDescent="0.25">
      <c r="A105" s="5" t="s">
        <v>225</v>
      </c>
      <c r="B105" s="5">
        <v>2</v>
      </c>
      <c r="C105" s="6">
        <v>15</v>
      </c>
      <c r="D105" s="5">
        <v>1</v>
      </c>
      <c r="E105" s="6" t="s">
        <v>273</v>
      </c>
    </row>
    <row r="106" spans="1:5" x14ac:dyDescent="0.25">
      <c r="A106" s="105" t="s">
        <v>226</v>
      </c>
      <c r="B106" s="105">
        <v>0</v>
      </c>
      <c r="C106" s="106">
        <v>15</v>
      </c>
      <c r="D106" s="104">
        <v>2</v>
      </c>
      <c r="E106" s="106" t="s">
        <v>239</v>
      </c>
    </row>
    <row r="107" spans="1:5" x14ac:dyDescent="0.25">
      <c r="A107" s="5" t="s">
        <v>227</v>
      </c>
      <c r="B107" s="5">
        <v>2</v>
      </c>
      <c r="C107" s="6">
        <v>15</v>
      </c>
      <c r="D107" s="5">
        <v>0</v>
      </c>
      <c r="E107" s="6"/>
    </row>
    <row r="108" spans="1:5" x14ac:dyDescent="0.25">
      <c r="A108" s="8" t="s">
        <v>228</v>
      </c>
      <c r="B108" s="8">
        <v>2</v>
      </c>
      <c r="C108" s="9">
        <v>15</v>
      </c>
      <c r="D108" s="8">
        <v>0</v>
      </c>
      <c r="E108" s="9"/>
    </row>
    <row r="109" spans="1:5" x14ac:dyDescent="0.25">
      <c r="A109" s="115" t="s">
        <v>229</v>
      </c>
      <c r="B109" s="115">
        <v>0</v>
      </c>
      <c r="C109" s="116">
        <v>55</v>
      </c>
      <c r="D109" s="115">
        <v>2</v>
      </c>
      <c r="E109" s="116" t="s">
        <v>276</v>
      </c>
    </row>
    <row r="110" spans="1:5" x14ac:dyDescent="0.25">
      <c r="A110" s="117" t="s">
        <v>186</v>
      </c>
      <c r="B110" s="117">
        <v>0</v>
      </c>
      <c r="C110" s="118">
        <v>50</v>
      </c>
      <c r="D110" s="117">
        <v>2</v>
      </c>
      <c r="E110" s="118" t="s">
        <v>269</v>
      </c>
    </row>
    <row r="111" spans="1:5" x14ac:dyDescent="0.25">
      <c r="A111" s="115" t="s">
        <v>230</v>
      </c>
      <c r="B111" s="115">
        <v>0</v>
      </c>
      <c r="C111" s="116">
        <v>45</v>
      </c>
      <c r="D111" s="115">
        <v>1</v>
      </c>
      <c r="E111" s="116" t="s">
        <v>198</v>
      </c>
    </row>
    <row r="112" spans="1:5" x14ac:dyDescent="0.25">
      <c r="A112" s="117" t="s">
        <v>231</v>
      </c>
      <c r="B112" s="117">
        <v>0</v>
      </c>
      <c r="C112" s="118">
        <v>50</v>
      </c>
      <c r="D112" s="117">
        <v>2</v>
      </c>
      <c r="E112" s="118" t="s">
        <v>270</v>
      </c>
    </row>
    <row r="113" spans="1:5" x14ac:dyDescent="0.25">
      <c r="A113" s="101" t="s">
        <v>234</v>
      </c>
      <c r="B113" s="101">
        <f>SUM(B77:B112)</f>
        <v>20</v>
      </c>
      <c r="C113" s="102"/>
      <c r="D113" s="103">
        <f>SUM(D77:D112)</f>
        <v>45</v>
      </c>
      <c r="E113" s="6"/>
    </row>
    <row r="114" spans="1:5" ht="16.5" thickBot="1" x14ac:dyDescent="0.3">
      <c r="A114" s="10"/>
      <c r="B114" s="11"/>
      <c r="C114" s="12"/>
      <c r="D114" s="35"/>
      <c r="E114" s="19"/>
    </row>
    <row r="115" spans="1:5" ht="16.5" thickTop="1" x14ac:dyDescent="0.25">
      <c r="A115" s="100" t="s">
        <v>290</v>
      </c>
      <c r="B115" s="124" t="s">
        <v>332</v>
      </c>
      <c r="C115" s="124" t="s">
        <v>331</v>
      </c>
      <c r="D115" s="124" t="s">
        <v>333</v>
      </c>
      <c r="E115" s="100" t="s">
        <v>232</v>
      </c>
    </row>
    <row r="116" spans="1:5" x14ac:dyDescent="0.25">
      <c r="A116" s="119" t="s">
        <v>291</v>
      </c>
      <c r="B116" s="120">
        <v>1</v>
      </c>
      <c r="C116" s="9">
        <v>20</v>
      </c>
      <c r="D116" s="121">
        <v>0</v>
      </c>
      <c r="E116" s="9"/>
    </row>
    <row r="117" spans="1:5" x14ac:dyDescent="0.25">
      <c r="A117" s="5" t="s">
        <v>3</v>
      </c>
      <c r="B117" s="5">
        <v>1</v>
      </c>
      <c r="C117" s="6">
        <v>20</v>
      </c>
      <c r="D117" s="5">
        <v>1</v>
      </c>
      <c r="E117" s="6" t="s">
        <v>166</v>
      </c>
    </row>
    <row r="118" spans="1:5" x14ac:dyDescent="0.25">
      <c r="A118" s="8" t="s">
        <v>292</v>
      </c>
      <c r="B118" s="8">
        <v>2</v>
      </c>
      <c r="C118" s="9">
        <v>20</v>
      </c>
      <c r="D118" s="8">
        <v>0</v>
      </c>
      <c r="E118" s="9"/>
    </row>
    <row r="119" spans="1:5" x14ac:dyDescent="0.25">
      <c r="A119" s="105" t="s">
        <v>200</v>
      </c>
      <c r="B119" s="105">
        <v>0</v>
      </c>
      <c r="C119" s="106">
        <v>65</v>
      </c>
      <c r="D119" s="104">
        <v>1</v>
      </c>
      <c r="E119" s="106" t="s">
        <v>362</v>
      </c>
    </row>
    <row r="120" spans="1:5" x14ac:dyDescent="0.25">
      <c r="A120" s="105" t="s">
        <v>293</v>
      </c>
      <c r="B120" s="105">
        <v>0</v>
      </c>
      <c r="C120" s="106">
        <v>70</v>
      </c>
      <c r="D120" s="104">
        <v>2</v>
      </c>
      <c r="E120" s="106" t="s">
        <v>374</v>
      </c>
    </row>
    <row r="121" spans="1:5" x14ac:dyDescent="0.25">
      <c r="A121" s="5" t="s">
        <v>9</v>
      </c>
      <c r="B121" s="5">
        <v>2</v>
      </c>
      <c r="C121" s="6">
        <v>60</v>
      </c>
      <c r="D121" s="5">
        <v>1</v>
      </c>
      <c r="E121" s="6" t="s">
        <v>133</v>
      </c>
    </row>
    <row r="122" spans="1:5" x14ac:dyDescent="0.25">
      <c r="A122" s="105" t="s">
        <v>10</v>
      </c>
      <c r="B122" s="105">
        <v>0</v>
      </c>
      <c r="C122" s="106">
        <v>70</v>
      </c>
      <c r="D122" s="104">
        <v>2</v>
      </c>
      <c r="E122" s="106" t="s">
        <v>358</v>
      </c>
    </row>
    <row r="123" spans="1:5" x14ac:dyDescent="0.25">
      <c r="A123" s="105" t="s">
        <v>294</v>
      </c>
      <c r="B123" s="105">
        <v>0</v>
      </c>
      <c r="C123" s="106">
        <v>85</v>
      </c>
      <c r="D123" s="104">
        <v>1</v>
      </c>
      <c r="E123" s="106" t="s">
        <v>133</v>
      </c>
    </row>
    <row r="124" spans="1:5" x14ac:dyDescent="0.25">
      <c r="A124" s="8" t="s">
        <v>295</v>
      </c>
      <c r="B124" s="8">
        <v>1</v>
      </c>
      <c r="C124" s="9">
        <v>45</v>
      </c>
      <c r="D124" s="8">
        <v>2</v>
      </c>
      <c r="E124" s="9" t="s">
        <v>396</v>
      </c>
    </row>
    <row r="125" spans="1:5" x14ac:dyDescent="0.25">
      <c r="A125" s="105" t="s">
        <v>296</v>
      </c>
      <c r="B125" s="105">
        <v>0</v>
      </c>
      <c r="C125" s="106">
        <v>60</v>
      </c>
      <c r="D125" s="104">
        <v>2</v>
      </c>
      <c r="E125" s="106" t="s">
        <v>396</v>
      </c>
    </row>
    <row r="126" spans="1:5" x14ac:dyDescent="0.25">
      <c r="A126" s="8" t="s">
        <v>297</v>
      </c>
      <c r="B126" s="8">
        <v>1</v>
      </c>
      <c r="C126" s="9">
        <v>70</v>
      </c>
      <c r="D126" s="8">
        <v>0</v>
      </c>
      <c r="E126" s="9"/>
    </row>
    <row r="127" spans="1:5" x14ac:dyDescent="0.25">
      <c r="A127" s="105" t="s">
        <v>298</v>
      </c>
      <c r="B127" s="105">
        <v>0</v>
      </c>
      <c r="C127" s="106">
        <v>85</v>
      </c>
      <c r="D127" s="104">
        <v>1</v>
      </c>
      <c r="E127" s="106" t="s">
        <v>133</v>
      </c>
    </row>
    <row r="128" spans="1:5" x14ac:dyDescent="0.25">
      <c r="A128" s="105" t="s">
        <v>21</v>
      </c>
      <c r="B128" s="105">
        <v>0</v>
      </c>
      <c r="C128" s="106">
        <v>55</v>
      </c>
      <c r="D128" s="104">
        <v>2</v>
      </c>
      <c r="E128" s="106" t="s">
        <v>393</v>
      </c>
    </row>
    <row r="129" spans="1:5" x14ac:dyDescent="0.25">
      <c r="A129" s="105" t="s">
        <v>299</v>
      </c>
      <c r="B129" s="105">
        <v>0</v>
      </c>
      <c r="C129" s="106">
        <v>80</v>
      </c>
      <c r="D129" s="104">
        <v>1</v>
      </c>
      <c r="E129" s="106" t="s">
        <v>387</v>
      </c>
    </row>
    <row r="130" spans="1:5" x14ac:dyDescent="0.25">
      <c r="A130" s="8" t="s">
        <v>202</v>
      </c>
      <c r="B130" s="8">
        <v>1</v>
      </c>
      <c r="C130" s="9">
        <v>55</v>
      </c>
      <c r="D130" s="8">
        <v>0</v>
      </c>
      <c r="E130" s="9"/>
    </row>
    <row r="131" spans="1:5" x14ac:dyDescent="0.25">
      <c r="A131" s="105" t="s">
        <v>300</v>
      </c>
      <c r="B131" s="105">
        <v>0</v>
      </c>
      <c r="C131" s="106">
        <v>60</v>
      </c>
      <c r="D131" s="104">
        <v>1</v>
      </c>
      <c r="E131" s="106" t="s">
        <v>386</v>
      </c>
    </row>
    <row r="132" spans="1:5" x14ac:dyDescent="0.25">
      <c r="A132" s="8" t="s">
        <v>24</v>
      </c>
      <c r="B132" s="8">
        <v>1</v>
      </c>
      <c r="C132" s="9">
        <v>55</v>
      </c>
      <c r="D132" s="8">
        <v>0</v>
      </c>
      <c r="E132" s="9"/>
    </row>
    <row r="133" spans="1:5" x14ac:dyDescent="0.25">
      <c r="A133" s="105" t="s">
        <v>203</v>
      </c>
      <c r="B133" s="105">
        <v>0</v>
      </c>
      <c r="C133" s="106">
        <v>60</v>
      </c>
      <c r="D133" s="104">
        <v>2</v>
      </c>
      <c r="E133" s="106" t="s">
        <v>357</v>
      </c>
    </row>
    <row r="134" spans="1:5" x14ac:dyDescent="0.25">
      <c r="A134" s="8" t="s">
        <v>204</v>
      </c>
      <c r="B134" s="8">
        <v>2</v>
      </c>
      <c r="C134" s="9">
        <v>45</v>
      </c>
      <c r="D134" s="8">
        <v>0</v>
      </c>
      <c r="E134" s="9"/>
    </row>
    <row r="135" spans="1:5" x14ac:dyDescent="0.25">
      <c r="A135" s="5" t="s">
        <v>301</v>
      </c>
      <c r="B135" s="5">
        <v>1</v>
      </c>
      <c r="C135" s="6">
        <v>50</v>
      </c>
      <c r="D135" s="5">
        <v>0</v>
      </c>
      <c r="E135" s="6"/>
    </row>
    <row r="136" spans="1:5" x14ac:dyDescent="0.25">
      <c r="A136" s="8" t="s">
        <v>205</v>
      </c>
      <c r="B136" s="8">
        <v>1</v>
      </c>
      <c r="C136" s="9">
        <v>60</v>
      </c>
      <c r="D136" s="8">
        <v>1</v>
      </c>
      <c r="E136" s="9" t="s">
        <v>166</v>
      </c>
    </row>
    <row r="137" spans="1:5" x14ac:dyDescent="0.25">
      <c r="A137" s="5" t="s">
        <v>302</v>
      </c>
      <c r="B137" s="5">
        <v>2</v>
      </c>
      <c r="C137" s="6">
        <v>65</v>
      </c>
      <c r="D137" s="5">
        <v>2</v>
      </c>
      <c r="E137" s="6" t="s">
        <v>384</v>
      </c>
    </row>
    <row r="138" spans="1:5" x14ac:dyDescent="0.25">
      <c r="A138" s="8" t="s">
        <v>303</v>
      </c>
      <c r="B138" s="8">
        <v>0</v>
      </c>
      <c r="C138" s="9">
        <v>60</v>
      </c>
      <c r="D138" s="8">
        <v>1</v>
      </c>
      <c r="E138" s="9" t="s">
        <v>133</v>
      </c>
    </row>
    <row r="139" spans="1:5" x14ac:dyDescent="0.25">
      <c r="A139" s="105" t="s">
        <v>179</v>
      </c>
      <c r="B139" s="105">
        <v>0</v>
      </c>
      <c r="C139" s="106">
        <v>55</v>
      </c>
      <c r="D139" s="104">
        <v>2</v>
      </c>
      <c r="E139" s="106" t="s">
        <v>375</v>
      </c>
    </row>
    <row r="140" spans="1:5" x14ac:dyDescent="0.25">
      <c r="A140" s="105" t="s">
        <v>304</v>
      </c>
      <c r="B140" s="105">
        <v>0</v>
      </c>
      <c r="C140" s="106">
        <v>80</v>
      </c>
      <c r="D140" s="104">
        <v>1</v>
      </c>
      <c r="E140" s="106" t="s">
        <v>330</v>
      </c>
    </row>
    <row r="141" spans="1:5" x14ac:dyDescent="0.25">
      <c r="A141" s="105" t="s">
        <v>26</v>
      </c>
      <c r="B141" s="105">
        <v>0</v>
      </c>
      <c r="C141" s="106">
        <v>85</v>
      </c>
      <c r="D141" s="104">
        <v>1</v>
      </c>
      <c r="E141" s="106" t="s">
        <v>133</v>
      </c>
    </row>
    <row r="142" spans="1:5" x14ac:dyDescent="0.25">
      <c r="A142" s="8" t="s">
        <v>210</v>
      </c>
      <c r="B142" s="8">
        <v>1</v>
      </c>
      <c r="C142" s="9">
        <v>20</v>
      </c>
      <c r="D142" s="8">
        <v>2</v>
      </c>
      <c r="E142" s="9" t="s">
        <v>364</v>
      </c>
    </row>
    <row r="143" spans="1:5" x14ac:dyDescent="0.25">
      <c r="A143" s="5" t="s">
        <v>221</v>
      </c>
      <c r="B143" s="5">
        <v>3</v>
      </c>
      <c r="C143" s="6">
        <v>15</v>
      </c>
      <c r="D143" s="5">
        <v>0</v>
      </c>
      <c r="E143" s="6"/>
    </row>
    <row r="144" spans="1:5" x14ac:dyDescent="0.25">
      <c r="A144" s="8" t="s">
        <v>225</v>
      </c>
      <c r="B144" s="8">
        <v>2</v>
      </c>
      <c r="C144" s="9">
        <v>15</v>
      </c>
      <c r="D144" s="8">
        <v>1</v>
      </c>
      <c r="E144" s="9" t="s">
        <v>166</v>
      </c>
    </row>
    <row r="145" spans="1:5" x14ac:dyDescent="0.25">
      <c r="A145" s="5" t="s">
        <v>226</v>
      </c>
      <c r="B145" s="5">
        <v>4</v>
      </c>
      <c r="C145" s="6">
        <v>15</v>
      </c>
      <c r="D145" s="5">
        <v>0</v>
      </c>
      <c r="E145" s="6"/>
    </row>
    <row r="146" spans="1:5" x14ac:dyDescent="0.25">
      <c r="A146" s="8" t="s">
        <v>305</v>
      </c>
      <c r="B146" s="8">
        <v>1</v>
      </c>
      <c r="C146" s="9">
        <v>30</v>
      </c>
      <c r="D146" s="8">
        <v>0</v>
      </c>
      <c r="E146" s="9"/>
    </row>
    <row r="147" spans="1:5" x14ac:dyDescent="0.25">
      <c r="A147" s="5" t="s">
        <v>306</v>
      </c>
      <c r="B147" s="5">
        <v>0</v>
      </c>
      <c r="C147" s="6">
        <v>30</v>
      </c>
      <c r="D147" s="5">
        <v>1</v>
      </c>
      <c r="E147" s="6" t="s">
        <v>356</v>
      </c>
    </row>
    <row r="148" spans="1:5" x14ac:dyDescent="0.25">
      <c r="A148" s="8" t="s">
        <v>307</v>
      </c>
      <c r="B148" s="8">
        <v>2</v>
      </c>
      <c r="C148" s="9">
        <v>15</v>
      </c>
      <c r="D148" s="8">
        <v>0</v>
      </c>
      <c r="E148" s="9"/>
    </row>
    <row r="149" spans="1:5" x14ac:dyDescent="0.25">
      <c r="A149" s="5" t="s">
        <v>308</v>
      </c>
      <c r="B149" s="5">
        <v>2</v>
      </c>
      <c r="C149" s="6">
        <v>15</v>
      </c>
      <c r="D149" s="5">
        <v>0</v>
      </c>
      <c r="E149" s="6"/>
    </row>
    <row r="150" spans="1:5" x14ac:dyDescent="0.25">
      <c r="A150" s="8" t="s">
        <v>309</v>
      </c>
      <c r="B150" s="8">
        <v>1</v>
      </c>
      <c r="C150" s="9">
        <v>15</v>
      </c>
      <c r="D150" s="8">
        <v>0</v>
      </c>
      <c r="E150" s="9"/>
    </row>
    <row r="151" spans="1:5" x14ac:dyDescent="0.25">
      <c r="A151" s="5" t="s">
        <v>310</v>
      </c>
      <c r="B151" s="5">
        <v>2</v>
      </c>
      <c r="C151" s="6">
        <v>20</v>
      </c>
      <c r="D151" s="5">
        <v>0</v>
      </c>
      <c r="E151" s="6"/>
    </row>
    <row r="152" spans="1:5" x14ac:dyDescent="0.25">
      <c r="A152" s="8" t="s">
        <v>311</v>
      </c>
      <c r="B152" s="8">
        <v>2</v>
      </c>
      <c r="C152" s="9">
        <v>20</v>
      </c>
      <c r="D152" s="8">
        <v>0</v>
      </c>
      <c r="E152" s="9"/>
    </row>
    <row r="153" spans="1:5" x14ac:dyDescent="0.25">
      <c r="A153" s="5" t="s">
        <v>312</v>
      </c>
      <c r="B153" s="5">
        <v>0</v>
      </c>
      <c r="C153" s="6">
        <v>20</v>
      </c>
      <c r="D153" s="5">
        <v>2</v>
      </c>
      <c r="E153" s="6" t="s">
        <v>397</v>
      </c>
    </row>
    <row r="154" spans="1:5" x14ac:dyDescent="0.25">
      <c r="A154" s="8" t="s">
        <v>313</v>
      </c>
      <c r="B154" s="8">
        <v>2</v>
      </c>
      <c r="C154" s="9">
        <v>20</v>
      </c>
      <c r="D154" s="8">
        <v>0</v>
      </c>
      <c r="E154" s="9"/>
    </row>
    <row r="155" spans="1:5" x14ac:dyDescent="0.25">
      <c r="A155" s="105" t="s">
        <v>314</v>
      </c>
      <c r="B155" s="105">
        <v>0</v>
      </c>
      <c r="C155" s="106">
        <v>60</v>
      </c>
      <c r="D155" s="104">
        <v>5</v>
      </c>
      <c r="E155" s="106" t="s">
        <v>361</v>
      </c>
    </row>
    <row r="156" spans="1:5" x14ac:dyDescent="0.25">
      <c r="A156" s="8" t="s">
        <v>315</v>
      </c>
      <c r="B156" s="8">
        <v>1</v>
      </c>
      <c r="C156" s="9">
        <v>25</v>
      </c>
      <c r="D156" s="8">
        <v>0</v>
      </c>
      <c r="E156" s="9"/>
    </row>
    <row r="157" spans="1:5" x14ac:dyDescent="0.25">
      <c r="A157" s="5" t="s">
        <v>316</v>
      </c>
      <c r="B157" s="5">
        <v>1</v>
      </c>
      <c r="C157" s="6">
        <v>25</v>
      </c>
      <c r="D157" s="5">
        <v>0</v>
      </c>
      <c r="E157" s="6"/>
    </row>
    <row r="158" spans="1:5" x14ac:dyDescent="0.25">
      <c r="A158" s="105" t="s">
        <v>317</v>
      </c>
      <c r="B158" s="105">
        <v>0</v>
      </c>
      <c r="C158" s="106">
        <v>15</v>
      </c>
      <c r="D158" s="104">
        <v>1</v>
      </c>
      <c r="E158" s="106"/>
    </row>
    <row r="159" spans="1:5" x14ac:dyDescent="0.25">
      <c r="A159" s="105" t="s">
        <v>318</v>
      </c>
      <c r="B159" s="105">
        <v>0</v>
      </c>
      <c r="C159" s="106">
        <v>15</v>
      </c>
      <c r="D159" s="104">
        <v>1</v>
      </c>
      <c r="E159" s="106"/>
    </row>
    <row r="160" spans="1:5" x14ac:dyDescent="0.25">
      <c r="A160" s="105" t="s">
        <v>319</v>
      </c>
      <c r="B160" s="105">
        <v>0</v>
      </c>
      <c r="C160" s="106">
        <v>15</v>
      </c>
      <c r="D160" s="104">
        <v>1</v>
      </c>
      <c r="E160" s="106"/>
    </row>
    <row r="161" spans="1:5" x14ac:dyDescent="0.25">
      <c r="A161" s="105" t="s">
        <v>182</v>
      </c>
      <c r="B161" s="105">
        <v>0</v>
      </c>
      <c r="C161" s="106">
        <v>60</v>
      </c>
      <c r="D161" s="104">
        <v>3</v>
      </c>
      <c r="E161" s="106" t="s">
        <v>363</v>
      </c>
    </row>
    <row r="162" spans="1:5" x14ac:dyDescent="0.25">
      <c r="A162" s="105" t="s">
        <v>320</v>
      </c>
      <c r="B162" s="105">
        <v>0</v>
      </c>
      <c r="C162" s="106">
        <v>65</v>
      </c>
      <c r="D162" s="104">
        <v>3</v>
      </c>
      <c r="E162" s="106" t="s">
        <v>391</v>
      </c>
    </row>
    <row r="163" spans="1:5" x14ac:dyDescent="0.25">
      <c r="A163" s="5" t="s">
        <v>321</v>
      </c>
      <c r="B163" s="5">
        <v>3</v>
      </c>
      <c r="C163" s="6">
        <v>60</v>
      </c>
      <c r="D163" s="5">
        <v>1</v>
      </c>
      <c r="E163" s="6" t="s">
        <v>353</v>
      </c>
    </row>
    <row r="164" spans="1:5" x14ac:dyDescent="0.25">
      <c r="A164" s="105" t="s">
        <v>229</v>
      </c>
      <c r="B164" s="105">
        <v>0</v>
      </c>
      <c r="C164" s="106">
        <v>55</v>
      </c>
      <c r="D164" s="104">
        <v>2</v>
      </c>
      <c r="E164" s="106" t="s">
        <v>367</v>
      </c>
    </row>
    <row r="165" spans="1:5" x14ac:dyDescent="0.25">
      <c r="A165" s="132" t="s">
        <v>41</v>
      </c>
      <c r="B165" s="130">
        <v>0</v>
      </c>
      <c r="C165" s="131">
        <v>55</v>
      </c>
      <c r="D165" s="130">
        <v>2</v>
      </c>
      <c r="E165" s="131" t="s">
        <v>371</v>
      </c>
    </row>
    <row r="166" spans="1:5" x14ac:dyDescent="0.25">
      <c r="A166" s="105" t="s">
        <v>42</v>
      </c>
      <c r="B166" s="105">
        <v>0</v>
      </c>
      <c r="C166" s="106">
        <v>55</v>
      </c>
      <c r="D166" s="104">
        <v>2</v>
      </c>
      <c r="E166" s="106" t="s">
        <v>366</v>
      </c>
    </row>
    <row r="167" spans="1:5" x14ac:dyDescent="0.25">
      <c r="A167" s="5" t="s">
        <v>322</v>
      </c>
      <c r="B167" s="5">
        <v>1</v>
      </c>
      <c r="C167" s="6">
        <v>35</v>
      </c>
      <c r="D167" s="5">
        <v>1</v>
      </c>
      <c r="E167" s="6" t="s">
        <v>398</v>
      </c>
    </row>
    <row r="168" spans="1:5" x14ac:dyDescent="0.25">
      <c r="A168" s="105" t="s">
        <v>323</v>
      </c>
      <c r="B168" s="105">
        <v>0</v>
      </c>
      <c r="C168" s="106">
        <v>35</v>
      </c>
      <c r="D168" s="104">
        <v>2</v>
      </c>
      <c r="E168" s="106" t="s">
        <v>392</v>
      </c>
    </row>
    <row r="169" spans="1:5" x14ac:dyDescent="0.25">
      <c r="A169" s="5" t="s">
        <v>324</v>
      </c>
      <c r="B169" s="5">
        <v>3</v>
      </c>
      <c r="C169" s="6">
        <v>60</v>
      </c>
      <c r="D169" s="5">
        <v>0</v>
      </c>
      <c r="E169" s="6"/>
    </row>
    <row r="170" spans="1:5" x14ac:dyDescent="0.25">
      <c r="A170" s="8" t="s">
        <v>325</v>
      </c>
      <c r="B170" s="8">
        <v>2</v>
      </c>
      <c r="C170" s="9">
        <v>60</v>
      </c>
      <c r="D170" s="8">
        <v>0</v>
      </c>
      <c r="E170" s="9"/>
    </row>
    <row r="171" spans="1:5" x14ac:dyDescent="0.25">
      <c r="A171" s="5" t="s">
        <v>47</v>
      </c>
      <c r="B171" s="5">
        <v>0</v>
      </c>
      <c r="C171" s="6">
        <v>55</v>
      </c>
      <c r="D171" s="5">
        <v>1</v>
      </c>
      <c r="E171" s="6" t="s">
        <v>399</v>
      </c>
    </row>
    <row r="172" spans="1:5" x14ac:dyDescent="0.25">
      <c r="A172" s="8" t="s">
        <v>326</v>
      </c>
      <c r="B172" s="8">
        <v>1</v>
      </c>
      <c r="C172" s="9">
        <v>60</v>
      </c>
      <c r="D172" s="8">
        <v>1</v>
      </c>
      <c r="E172" s="9" t="s">
        <v>362</v>
      </c>
    </row>
    <row r="173" spans="1:5" x14ac:dyDescent="0.25">
      <c r="A173" s="105" t="s">
        <v>327</v>
      </c>
      <c r="B173" s="105">
        <v>0</v>
      </c>
      <c r="C173" s="106">
        <v>60</v>
      </c>
      <c r="D173" s="104">
        <v>2</v>
      </c>
      <c r="E173" s="106" t="s">
        <v>368</v>
      </c>
    </row>
    <row r="174" spans="1:5" x14ac:dyDescent="0.25">
      <c r="A174" s="8" t="s">
        <v>328</v>
      </c>
      <c r="B174" s="8">
        <v>2</v>
      </c>
      <c r="C174" s="9">
        <v>55</v>
      </c>
      <c r="D174" s="8">
        <v>0</v>
      </c>
      <c r="E174" s="9"/>
    </row>
    <row r="175" spans="1:5" x14ac:dyDescent="0.25">
      <c r="A175" s="5" t="s">
        <v>329</v>
      </c>
      <c r="B175" s="5">
        <v>3</v>
      </c>
      <c r="C175" s="6">
        <v>55</v>
      </c>
      <c r="D175" s="5">
        <v>0</v>
      </c>
      <c r="E175" s="6"/>
    </row>
    <row r="176" spans="1:5" x14ac:dyDescent="0.25">
      <c r="A176" s="8" t="s">
        <v>186</v>
      </c>
      <c r="B176" s="8">
        <v>2</v>
      </c>
      <c r="C176" s="9">
        <v>50</v>
      </c>
      <c r="D176" s="8">
        <v>2</v>
      </c>
      <c r="E176" s="9" t="s">
        <v>400</v>
      </c>
    </row>
    <row r="177" spans="1:7" ht="19.5" thickBot="1" x14ac:dyDescent="0.35">
      <c r="A177" s="123" t="s">
        <v>234</v>
      </c>
      <c r="B177" s="122">
        <f>SUM(B116:B176)</f>
        <v>57</v>
      </c>
      <c r="C177" s="6"/>
      <c r="D177" s="122">
        <f>SUM(D116:D176)</f>
        <v>63</v>
      </c>
      <c r="E177" s="6"/>
    </row>
    <row r="178" spans="1:7" ht="16.5" thickTop="1" x14ac:dyDescent="0.25">
      <c r="A178" s="100" t="s">
        <v>290</v>
      </c>
      <c r="B178" s="124" t="s">
        <v>332</v>
      </c>
      <c r="C178" s="124" t="s">
        <v>331</v>
      </c>
      <c r="D178" s="124" t="s">
        <v>333</v>
      </c>
      <c r="E178" s="100" t="s">
        <v>232</v>
      </c>
      <c r="F178" s="100" t="s">
        <v>426</v>
      </c>
      <c r="G178" s="100" t="s">
        <v>425</v>
      </c>
    </row>
    <row r="179" spans="1:7" x14ac:dyDescent="0.25">
      <c r="A179" s="5" t="s">
        <v>200</v>
      </c>
      <c r="B179" s="5">
        <v>2</v>
      </c>
      <c r="C179" s="6">
        <v>70</v>
      </c>
      <c r="D179" s="5"/>
      <c r="E179" s="6"/>
      <c r="F179" s="6">
        <f>(C179*32.35/100)+C179</f>
        <v>92.644999999999996</v>
      </c>
      <c r="G179" s="6">
        <f>(C179*13.31/100)+C179</f>
        <v>79.317000000000007</v>
      </c>
    </row>
    <row r="180" spans="1:7" x14ac:dyDescent="0.25">
      <c r="A180" s="8" t="s">
        <v>8</v>
      </c>
      <c r="B180" s="8">
        <v>2</v>
      </c>
      <c r="C180" s="9">
        <v>60</v>
      </c>
      <c r="D180" s="8"/>
      <c r="E180" s="9"/>
      <c r="F180" s="9">
        <f t="shared" ref="F180:F221" si="0">(C180*32.35/100)+C180</f>
        <v>79.41</v>
      </c>
      <c r="G180" s="9">
        <f t="shared" ref="G180:G221" si="1">(C180*13.31/100)+C180</f>
        <v>67.986000000000004</v>
      </c>
    </row>
    <row r="181" spans="1:7" x14ac:dyDescent="0.25">
      <c r="A181" s="5" t="s">
        <v>293</v>
      </c>
      <c r="B181" s="5">
        <v>3</v>
      </c>
      <c r="C181" s="6">
        <v>65</v>
      </c>
      <c r="D181" s="5"/>
      <c r="E181" s="6"/>
      <c r="F181" s="6">
        <f t="shared" si="0"/>
        <v>86.027500000000003</v>
      </c>
      <c r="G181" s="6">
        <f t="shared" si="1"/>
        <v>73.651499999999999</v>
      </c>
    </row>
    <row r="182" spans="1:7" x14ac:dyDescent="0.25">
      <c r="A182" s="8" t="s">
        <v>9</v>
      </c>
      <c r="B182" s="8">
        <v>2</v>
      </c>
      <c r="C182" s="9">
        <v>60</v>
      </c>
      <c r="D182" s="8"/>
      <c r="E182" s="9"/>
      <c r="F182" s="9">
        <f t="shared" si="0"/>
        <v>79.41</v>
      </c>
      <c r="G182" s="9">
        <f t="shared" si="1"/>
        <v>67.986000000000004</v>
      </c>
    </row>
    <row r="183" spans="1:7" x14ac:dyDescent="0.25">
      <c r="A183" s="5" t="s">
        <v>408</v>
      </c>
      <c r="B183" s="5">
        <v>4</v>
      </c>
      <c r="C183" s="6">
        <v>60</v>
      </c>
      <c r="D183" s="5"/>
      <c r="E183" s="6"/>
      <c r="F183" s="6">
        <f t="shared" si="0"/>
        <v>79.41</v>
      </c>
      <c r="G183" s="6">
        <f t="shared" si="1"/>
        <v>67.986000000000004</v>
      </c>
    </row>
    <row r="184" spans="1:7" x14ac:dyDescent="0.25">
      <c r="A184" s="8" t="s">
        <v>409</v>
      </c>
      <c r="B184" s="8">
        <v>1</v>
      </c>
      <c r="C184" s="9">
        <v>90</v>
      </c>
      <c r="D184" s="8"/>
      <c r="E184" s="9"/>
      <c r="F184" s="9">
        <f t="shared" si="0"/>
        <v>119.11499999999999</v>
      </c>
      <c r="G184" s="9">
        <f t="shared" si="1"/>
        <v>101.979</v>
      </c>
    </row>
    <row r="185" spans="1:7" x14ac:dyDescent="0.25">
      <c r="A185" s="5" t="s">
        <v>15</v>
      </c>
      <c r="B185" s="5">
        <v>2</v>
      </c>
      <c r="C185" s="6">
        <v>90</v>
      </c>
      <c r="D185" s="5"/>
      <c r="E185" s="6"/>
      <c r="F185" s="6">
        <f t="shared" si="0"/>
        <v>119.11499999999999</v>
      </c>
      <c r="G185" s="6">
        <f t="shared" si="1"/>
        <v>101.979</v>
      </c>
    </row>
    <row r="186" spans="1:7" x14ac:dyDescent="0.25">
      <c r="A186" s="8" t="s">
        <v>16</v>
      </c>
      <c r="B186" s="8">
        <v>1</v>
      </c>
      <c r="C186" s="9">
        <v>80</v>
      </c>
      <c r="D186" s="8"/>
      <c r="E186" s="9"/>
      <c r="F186" s="9">
        <f t="shared" si="0"/>
        <v>105.88</v>
      </c>
      <c r="G186" s="9">
        <f t="shared" si="1"/>
        <v>90.647999999999996</v>
      </c>
    </row>
    <row r="187" spans="1:7" x14ac:dyDescent="0.25">
      <c r="A187" s="5" t="s">
        <v>410</v>
      </c>
      <c r="B187" s="5">
        <v>1</v>
      </c>
      <c r="C187" s="6">
        <v>60</v>
      </c>
      <c r="D187" s="5"/>
      <c r="E187" s="6"/>
      <c r="F187" s="6">
        <f t="shared" si="0"/>
        <v>79.41</v>
      </c>
      <c r="G187" s="6">
        <f t="shared" si="1"/>
        <v>67.986000000000004</v>
      </c>
    </row>
    <row r="188" spans="1:7" x14ac:dyDescent="0.25">
      <c r="A188" s="8" t="s">
        <v>411</v>
      </c>
      <c r="B188" s="8">
        <v>3</v>
      </c>
      <c r="C188" s="9">
        <v>60</v>
      </c>
      <c r="D188" s="8"/>
      <c r="E188" s="9"/>
      <c r="F188" s="9">
        <f t="shared" si="0"/>
        <v>79.41</v>
      </c>
      <c r="G188" s="9">
        <f t="shared" si="1"/>
        <v>67.986000000000004</v>
      </c>
    </row>
    <row r="189" spans="1:7" x14ac:dyDescent="0.25">
      <c r="A189" s="5" t="s">
        <v>24</v>
      </c>
      <c r="B189" s="5"/>
      <c r="C189" s="6">
        <v>60</v>
      </c>
      <c r="D189" s="5"/>
      <c r="E189" s="6"/>
      <c r="F189" s="6">
        <f t="shared" si="0"/>
        <v>79.41</v>
      </c>
      <c r="G189" s="6">
        <f t="shared" si="1"/>
        <v>67.986000000000004</v>
      </c>
    </row>
    <row r="190" spans="1:7" x14ac:dyDescent="0.25">
      <c r="A190" s="8" t="s">
        <v>203</v>
      </c>
      <c r="B190" s="8">
        <v>3</v>
      </c>
      <c r="C190" s="9">
        <v>60</v>
      </c>
      <c r="D190" s="8"/>
      <c r="E190" s="9"/>
      <c r="F190" s="9">
        <f t="shared" si="0"/>
        <v>79.41</v>
      </c>
      <c r="G190" s="9">
        <f t="shared" si="1"/>
        <v>67.986000000000004</v>
      </c>
    </row>
    <row r="191" spans="1:7" x14ac:dyDescent="0.25">
      <c r="A191" s="5" t="s">
        <v>301</v>
      </c>
      <c r="B191" s="5">
        <v>1</v>
      </c>
      <c r="C191" s="6">
        <v>60</v>
      </c>
      <c r="D191" s="5"/>
      <c r="E191" s="6"/>
      <c r="F191" s="6">
        <f t="shared" si="0"/>
        <v>79.41</v>
      </c>
      <c r="G191" s="6">
        <f t="shared" si="1"/>
        <v>67.986000000000004</v>
      </c>
    </row>
    <row r="192" spans="1:7" x14ac:dyDescent="0.25">
      <c r="A192" s="8" t="s">
        <v>205</v>
      </c>
      <c r="B192" s="8"/>
      <c r="C192" s="9">
        <v>60</v>
      </c>
      <c r="D192" s="8"/>
      <c r="E192" s="9"/>
      <c r="F192" s="9">
        <f t="shared" si="0"/>
        <v>79.41</v>
      </c>
      <c r="G192" s="9">
        <f t="shared" si="1"/>
        <v>67.986000000000004</v>
      </c>
    </row>
    <row r="193" spans="1:7" ht="15.75" customHeight="1" x14ac:dyDescent="0.25">
      <c r="A193" s="5" t="s">
        <v>206</v>
      </c>
      <c r="B193" s="5">
        <v>3</v>
      </c>
      <c r="C193" s="6">
        <v>65</v>
      </c>
      <c r="D193" s="5"/>
      <c r="E193" s="6"/>
      <c r="F193" s="6">
        <f t="shared" si="0"/>
        <v>86.027500000000003</v>
      </c>
      <c r="G193" s="6">
        <f t="shared" si="1"/>
        <v>73.651499999999999</v>
      </c>
    </row>
    <row r="194" spans="1:7" x14ac:dyDescent="0.25">
      <c r="A194" s="8" t="s">
        <v>302</v>
      </c>
      <c r="B194" s="8">
        <v>3</v>
      </c>
      <c r="C194" s="9">
        <v>60</v>
      </c>
      <c r="D194" s="8"/>
      <c r="E194" s="9"/>
      <c r="F194" s="9">
        <f t="shared" si="0"/>
        <v>79.41</v>
      </c>
      <c r="G194" s="9">
        <f t="shared" si="1"/>
        <v>67.986000000000004</v>
      </c>
    </row>
    <row r="195" spans="1:7" x14ac:dyDescent="0.25">
      <c r="A195" s="5" t="s">
        <v>303</v>
      </c>
      <c r="B195" s="5"/>
      <c r="C195" s="6">
        <v>55</v>
      </c>
      <c r="D195" s="5"/>
      <c r="E195" s="6"/>
      <c r="F195" s="6">
        <f t="shared" si="0"/>
        <v>72.792500000000004</v>
      </c>
      <c r="G195" s="6">
        <f t="shared" si="1"/>
        <v>62.320500000000003</v>
      </c>
    </row>
    <row r="196" spans="1:7" x14ac:dyDescent="0.25">
      <c r="A196" s="8" t="s">
        <v>179</v>
      </c>
      <c r="B196" s="8">
        <v>2</v>
      </c>
      <c r="C196" s="9">
        <v>60</v>
      </c>
      <c r="D196" s="8"/>
      <c r="E196" s="9"/>
      <c r="F196" s="9">
        <f t="shared" si="0"/>
        <v>79.41</v>
      </c>
      <c r="G196" s="9">
        <f t="shared" si="1"/>
        <v>67.986000000000004</v>
      </c>
    </row>
    <row r="197" spans="1:7" x14ac:dyDescent="0.25">
      <c r="A197" s="5" t="s">
        <v>412</v>
      </c>
      <c r="B197" s="5">
        <v>2</v>
      </c>
      <c r="C197" s="6">
        <v>20</v>
      </c>
      <c r="D197" s="5"/>
      <c r="E197" s="6"/>
      <c r="F197" s="6">
        <f t="shared" si="0"/>
        <v>26.47</v>
      </c>
      <c r="G197" s="6">
        <f t="shared" si="1"/>
        <v>22.661999999999999</v>
      </c>
    </row>
    <row r="198" spans="1:7" x14ac:dyDescent="0.25">
      <c r="A198" s="8" t="s">
        <v>209</v>
      </c>
      <c r="B198" s="8">
        <v>2</v>
      </c>
      <c r="C198" s="9">
        <v>20</v>
      </c>
      <c r="D198" s="8"/>
      <c r="E198" s="9"/>
      <c r="F198" s="9">
        <f t="shared" si="0"/>
        <v>26.47</v>
      </c>
      <c r="G198" s="9">
        <f t="shared" si="1"/>
        <v>22.661999999999999</v>
      </c>
    </row>
    <row r="199" spans="1:7" ht="15.75" customHeight="1" x14ac:dyDescent="0.25">
      <c r="A199" s="5" t="s">
        <v>210</v>
      </c>
      <c r="B199" s="5">
        <v>3</v>
      </c>
      <c r="C199" s="6">
        <v>20</v>
      </c>
      <c r="D199" s="5"/>
      <c r="E199" s="6"/>
      <c r="F199" s="6">
        <f t="shared" si="0"/>
        <v>26.47</v>
      </c>
      <c r="G199" s="6">
        <f t="shared" si="1"/>
        <v>22.661999999999999</v>
      </c>
    </row>
    <row r="200" spans="1:7" x14ac:dyDescent="0.25">
      <c r="A200" s="8" t="s">
        <v>211</v>
      </c>
      <c r="B200" s="8">
        <v>2</v>
      </c>
      <c r="C200" s="9">
        <v>20</v>
      </c>
      <c r="D200" s="8"/>
      <c r="E200" s="9"/>
      <c r="F200" s="9">
        <f t="shared" si="0"/>
        <v>26.47</v>
      </c>
      <c r="G200" s="9">
        <f t="shared" si="1"/>
        <v>22.661999999999999</v>
      </c>
    </row>
    <row r="201" spans="1:7" x14ac:dyDescent="0.25">
      <c r="A201" s="5" t="s">
        <v>212</v>
      </c>
      <c r="B201" s="5">
        <v>2</v>
      </c>
      <c r="C201" s="6">
        <v>20</v>
      </c>
      <c r="D201" s="5"/>
      <c r="E201" s="6"/>
      <c r="F201" s="6">
        <f t="shared" si="0"/>
        <v>26.47</v>
      </c>
      <c r="G201" s="6">
        <f t="shared" si="1"/>
        <v>22.661999999999999</v>
      </c>
    </row>
    <row r="202" spans="1:7" x14ac:dyDescent="0.25">
      <c r="A202" s="8" t="s">
        <v>413</v>
      </c>
      <c r="B202" s="8">
        <v>2</v>
      </c>
      <c r="C202" s="9">
        <v>20</v>
      </c>
      <c r="D202" s="8"/>
      <c r="E202" s="9"/>
      <c r="F202" s="9">
        <f t="shared" si="0"/>
        <v>26.47</v>
      </c>
      <c r="G202" s="9">
        <f t="shared" si="1"/>
        <v>22.661999999999999</v>
      </c>
    </row>
    <row r="203" spans="1:7" x14ac:dyDescent="0.25">
      <c r="A203" s="5" t="s">
        <v>414</v>
      </c>
      <c r="B203" s="5">
        <v>2</v>
      </c>
      <c r="C203" s="6">
        <v>20</v>
      </c>
      <c r="D203" s="5"/>
      <c r="E203" s="6"/>
      <c r="F203" s="6">
        <f t="shared" si="0"/>
        <v>26.47</v>
      </c>
      <c r="G203" s="6">
        <f t="shared" si="1"/>
        <v>22.661999999999999</v>
      </c>
    </row>
    <row r="204" spans="1:7" x14ac:dyDescent="0.25">
      <c r="A204" s="8" t="s">
        <v>415</v>
      </c>
      <c r="B204" s="8">
        <v>1</v>
      </c>
      <c r="C204" s="9">
        <v>45</v>
      </c>
      <c r="D204" s="8"/>
      <c r="E204" s="9"/>
      <c r="F204" s="9">
        <f t="shared" si="0"/>
        <v>59.557499999999997</v>
      </c>
      <c r="G204" s="9">
        <f t="shared" si="1"/>
        <v>50.9895</v>
      </c>
    </row>
    <row r="205" spans="1:7" x14ac:dyDescent="0.25">
      <c r="A205" s="5" t="s">
        <v>416</v>
      </c>
      <c r="B205" s="5">
        <v>1</v>
      </c>
      <c r="C205" s="6">
        <v>60</v>
      </c>
      <c r="D205" s="5"/>
      <c r="E205" s="6"/>
      <c r="F205" s="6">
        <f t="shared" si="0"/>
        <v>79.41</v>
      </c>
      <c r="G205" s="6">
        <f t="shared" si="1"/>
        <v>67.986000000000004</v>
      </c>
    </row>
    <row r="206" spans="1:7" x14ac:dyDescent="0.25">
      <c r="A206" s="8" t="s">
        <v>314</v>
      </c>
      <c r="B206" s="8">
        <v>6</v>
      </c>
      <c r="C206" s="9">
        <v>60</v>
      </c>
      <c r="D206" s="8">
        <v>1</v>
      </c>
      <c r="E206" s="9" t="s">
        <v>424</v>
      </c>
      <c r="F206" s="9">
        <f t="shared" si="0"/>
        <v>79.41</v>
      </c>
      <c r="G206" s="9">
        <f t="shared" si="1"/>
        <v>67.986000000000004</v>
      </c>
    </row>
    <row r="207" spans="1:7" x14ac:dyDescent="0.25">
      <c r="A207" s="5" t="s">
        <v>417</v>
      </c>
      <c r="B207" s="5">
        <v>5</v>
      </c>
      <c r="C207" s="6">
        <v>60</v>
      </c>
      <c r="D207" s="5"/>
      <c r="E207" s="6"/>
      <c r="F207" s="6">
        <f t="shared" si="0"/>
        <v>79.41</v>
      </c>
      <c r="G207" s="6">
        <f t="shared" si="1"/>
        <v>67.986000000000004</v>
      </c>
    </row>
    <row r="208" spans="1:7" x14ac:dyDescent="0.25">
      <c r="A208" s="8" t="s">
        <v>418</v>
      </c>
      <c r="B208" s="8">
        <v>3</v>
      </c>
      <c r="C208" s="9">
        <v>65</v>
      </c>
      <c r="D208" s="8"/>
      <c r="E208" s="9"/>
      <c r="F208" s="9">
        <f t="shared" si="0"/>
        <v>86.027500000000003</v>
      </c>
      <c r="G208" s="9">
        <f t="shared" si="1"/>
        <v>73.651499999999999</v>
      </c>
    </row>
    <row r="209" spans="1:7" x14ac:dyDescent="0.25">
      <c r="A209" s="5" t="s">
        <v>180</v>
      </c>
      <c r="B209" s="5">
        <v>1</v>
      </c>
      <c r="C209" s="6">
        <v>55</v>
      </c>
      <c r="D209" s="5"/>
      <c r="E209" s="6"/>
      <c r="F209" s="6">
        <f t="shared" si="0"/>
        <v>72.792500000000004</v>
      </c>
      <c r="G209" s="6">
        <f t="shared" si="1"/>
        <v>62.320500000000003</v>
      </c>
    </row>
    <row r="210" spans="1:7" x14ac:dyDescent="0.25">
      <c r="A210" s="8" t="s">
        <v>419</v>
      </c>
      <c r="B210" s="8">
        <v>2</v>
      </c>
      <c r="C210" s="9">
        <v>60</v>
      </c>
      <c r="D210" s="8"/>
      <c r="E210" s="9"/>
      <c r="F210" s="9">
        <f t="shared" si="0"/>
        <v>79.41</v>
      </c>
      <c r="G210" s="9">
        <f t="shared" si="1"/>
        <v>67.986000000000004</v>
      </c>
    </row>
    <row r="211" spans="1:7" x14ac:dyDescent="0.25">
      <c r="A211" s="5" t="s">
        <v>320</v>
      </c>
      <c r="B211" s="5">
        <v>1</v>
      </c>
      <c r="C211" s="6">
        <v>60</v>
      </c>
      <c r="D211" s="5"/>
      <c r="E211" s="6"/>
      <c r="F211" s="6">
        <f t="shared" si="0"/>
        <v>79.41</v>
      </c>
      <c r="G211" s="6">
        <f t="shared" si="1"/>
        <v>67.986000000000004</v>
      </c>
    </row>
    <row r="212" spans="1:7" x14ac:dyDescent="0.25">
      <c r="A212" s="8" t="s">
        <v>321</v>
      </c>
      <c r="B212" s="8">
        <v>2</v>
      </c>
      <c r="C212" s="9">
        <v>60</v>
      </c>
      <c r="D212" s="8"/>
      <c r="E212" s="9"/>
      <c r="F212" s="9">
        <f t="shared" si="0"/>
        <v>79.41</v>
      </c>
      <c r="G212" s="9">
        <f t="shared" si="1"/>
        <v>67.986000000000004</v>
      </c>
    </row>
    <row r="213" spans="1:7" x14ac:dyDescent="0.25">
      <c r="A213" s="5" t="s">
        <v>420</v>
      </c>
      <c r="B213" s="5">
        <v>2</v>
      </c>
      <c r="C213" s="6">
        <v>55</v>
      </c>
      <c r="D213" s="5"/>
      <c r="E213" s="6"/>
      <c r="F213" s="6">
        <f t="shared" si="0"/>
        <v>72.792500000000004</v>
      </c>
      <c r="G213" s="6">
        <f t="shared" si="1"/>
        <v>62.320500000000003</v>
      </c>
    </row>
    <row r="214" spans="1:7" x14ac:dyDescent="0.25">
      <c r="A214" s="8" t="s">
        <v>229</v>
      </c>
      <c r="B214" s="8">
        <v>3</v>
      </c>
      <c r="C214" s="9">
        <v>60</v>
      </c>
      <c r="D214" s="8"/>
      <c r="E214" s="9"/>
      <c r="F214" s="9">
        <f t="shared" si="0"/>
        <v>79.41</v>
      </c>
      <c r="G214" s="9">
        <f t="shared" si="1"/>
        <v>67.986000000000004</v>
      </c>
    </row>
    <row r="215" spans="1:7" x14ac:dyDescent="0.25">
      <c r="A215" s="5" t="s">
        <v>421</v>
      </c>
      <c r="B215" s="5">
        <v>2</v>
      </c>
      <c r="C215" s="6">
        <v>60</v>
      </c>
      <c r="D215" s="5"/>
      <c r="E215" s="6"/>
      <c r="F215" s="6">
        <f t="shared" si="0"/>
        <v>79.41</v>
      </c>
      <c r="G215" s="6">
        <f t="shared" si="1"/>
        <v>67.986000000000004</v>
      </c>
    </row>
    <row r="216" spans="1:7" x14ac:dyDescent="0.25">
      <c r="A216" s="8" t="s">
        <v>41</v>
      </c>
      <c r="B216" s="8">
        <v>2</v>
      </c>
      <c r="C216" s="9">
        <v>60</v>
      </c>
      <c r="D216" s="8"/>
      <c r="E216" s="9"/>
      <c r="F216" s="9">
        <f t="shared" si="0"/>
        <v>79.41</v>
      </c>
      <c r="G216" s="9">
        <f t="shared" si="1"/>
        <v>67.986000000000004</v>
      </c>
    </row>
    <row r="217" spans="1:7" x14ac:dyDescent="0.25">
      <c r="A217" s="5" t="s">
        <v>42</v>
      </c>
      <c r="B217" s="5">
        <v>3</v>
      </c>
      <c r="C217" s="6">
        <v>60</v>
      </c>
      <c r="D217" s="5"/>
      <c r="E217" s="6"/>
      <c r="F217" s="6">
        <f t="shared" si="0"/>
        <v>79.41</v>
      </c>
      <c r="G217" s="6">
        <f t="shared" si="1"/>
        <v>67.986000000000004</v>
      </c>
    </row>
    <row r="218" spans="1:7" x14ac:dyDescent="0.25">
      <c r="A218" s="8" t="s">
        <v>422</v>
      </c>
      <c r="B218" s="8">
        <v>5</v>
      </c>
      <c r="C218" s="9">
        <v>60</v>
      </c>
      <c r="D218" s="8">
        <v>1</v>
      </c>
      <c r="E218" s="9" t="s">
        <v>94</v>
      </c>
      <c r="F218" s="9">
        <f t="shared" si="0"/>
        <v>79.41</v>
      </c>
      <c r="G218" s="9">
        <f t="shared" si="1"/>
        <v>67.986000000000004</v>
      </c>
    </row>
    <row r="219" spans="1:7" x14ac:dyDescent="0.25">
      <c r="A219" s="5" t="s">
        <v>322</v>
      </c>
      <c r="B219" s="5">
        <v>2</v>
      </c>
      <c r="C219" s="6">
        <v>40</v>
      </c>
      <c r="D219" s="5"/>
      <c r="E219" s="6"/>
      <c r="F219" s="6">
        <f t="shared" si="0"/>
        <v>52.94</v>
      </c>
      <c r="G219" s="6">
        <f t="shared" si="1"/>
        <v>45.323999999999998</v>
      </c>
    </row>
    <row r="220" spans="1:7" x14ac:dyDescent="0.25">
      <c r="A220" s="8" t="s">
        <v>423</v>
      </c>
      <c r="B220" s="8">
        <v>2</v>
      </c>
      <c r="C220" s="9">
        <v>40</v>
      </c>
      <c r="D220" s="8"/>
      <c r="E220" s="9"/>
      <c r="F220" s="9">
        <f t="shared" si="0"/>
        <v>52.94</v>
      </c>
      <c r="G220" s="9">
        <f t="shared" si="1"/>
        <v>45.323999999999998</v>
      </c>
    </row>
    <row r="221" spans="1:7" ht="16.5" thickBot="1" x14ac:dyDescent="0.3">
      <c r="A221" s="5" t="s">
        <v>45</v>
      </c>
      <c r="B221" s="5">
        <v>3</v>
      </c>
      <c r="C221" s="6">
        <v>50</v>
      </c>
      <c r="D221" s="5"/>
      <c r="E221" s="6"/>
      <c r="F221" s="6">
        <f t="shared" si="0"/>
        <v>66.174999999999997</v>
      </c>
      <c r="G221" s="6">
        <f t="shared" si="1"/>
        <v>56.655000000000001</v>
      </c>
    </row>
    <row r="222" spans="1:7" ht="16.5" thickTop="1" x14ac:dyDescent="0.25">
      <c r="A222" s="100" t="s">
        <v>234</v>
      </c>
      <c r="B222" s="100">
        <f>SUM(B179:B221)</f>
        <v>94</v>
      </c>
      <c r="C222" s="100"/>
      <c r="D222" s="100">
        <f>SUM(D179:D221)</f>
        <v>2</v>
      </c>
      <c r="E222" s="100"/>
      <c r="F222" s="9"/>
    </row>
    <row r="223" spans="1:7" x14ac:dyDescent="0.25">
      <c r="A223" s="190"/>
      <c r="B223" s="190"/>
      <c r="C223" s="190"/>
      <c r="D223" s="190"/>
      <c r="E223" s="190"/>
      <c r="F223" s="190"/>
      <c r="G223" s="190"/>
    </row>
    <row r="224" spans="1:7" x14ac:dyDescent="0.25">
      <c r="A224" s="190"/>
      <c r="B224" s="190"/>
      <c r="C224" s="190"/>
      <c r="D224" s="190"/>
      <c r="E224" s="190"/>
      <c r="F224" s="190"/>
      <c r="G224" s="190"/>
    </row>
    <row r="225" spans="1:7" x14ac:dyDescent="0.25">
      <c r="A225" s="190"/>
      <c r="B225" s="190"/>
      <c r="C225" s="190"/>
      <c r="D225" s="190"/>
      <c r="E225" s="190"/>
      <c r="F225" s="190"/>
      <c r="G225" s="190"/>
    </row>
    <row r="226" spans="1:7" x14ac:dyDescent="0.25">
      <c r="A226" s="190"/>
      <c r="B226" s="190"/>
      <c r="C226" s="190"/>
      <c r="D226" s="190"/>
      <c r="E226" s="190"/>
      <c r="F226" s="190"/>
      <c r="G226" s="190"/>
    </row>
    <row r="227" spans="1:7" x14ac:dyDescent="0.25">
      <c r="A227" s="190"/>
      <c r="B227" s="190"/>
      <c r="C227" s="190"/>
      <c r="D227" s="190"/>
      <c r="E227" s="190"/>
      <c r="F227" s="190"/>
      <c r="G227" s="190"/>
    </row>
    <row r="228" spans="1:7" x14ac:dyDescent="0.25">
      <c r="A228" s="190"/>
      <c r="B228" s="190"/>
      <c r="C228" s="190"/>
      <c r="D228" s="190"/>
      <c r="E228" s="190"/>
      <c r="F228" s="190"/>
      <c r="G228" s="190"/>
    </row>
    <row r="229" spans="1:7" x14ac:dyDescent="0.25">
      <c r="A229" s="190"/>
      <c r="B229" s="190"/>
      <c r="C229" s="190"/>
      <c r="D229" s="190"/>
      <c r="E229" s="190"/>
      <c r="F229" s="190"/>
      <c r="G229" s="190"/>
    </row>
    <row r="230" spans="1:7" x14ac:dyDescent="0.25">
      <c r="A230" s="190"/>
      <c r="B230" s="190"/>
      <c r="C230" s="190"/>
      <c r="D230" s="190"/>
      <c r="E230" s="190"/>
      <c r="F230" s="190"/>
      <c r="G230" s="190"/>
    </row>
    <row r="231" spans="1:7" x14ac:dyDescent="0.25">
      <c r="A231" s="190"/>
      <c r="B231" s="190"/>
      <c r="C231" s="190"/>
      <c r="D231" s="190"/>
      <c r="E231" s="190"/>
      <c r="F231" s="190"/>
      <c r="G231" s="190"/>
    </row>
    <row r="232" spans="1:7" x14ac:dyDescent="0.25">
      <c r="A232" s="190"/>
      <c r="B232" s="190"/>
      <c r="C232" s="190"/>
      <c r="D232" s="190"/>
      <c r="E232" s="190"/>
      <c r="F232" s="190"/>
      <c r="G232" s="190"/>
    </row>
    <row r="233" spans="1:7" x14ac:dyDescent="0.25">
      <c r="A233" s="190"/>
      <c r="B233" s="190"/>
      <c r="C233" s="190"/>
      <c r="D233" s="190"/>
      <c r="E233" s="190"/>
      <c r="F233" s="190"/>
      <c r="G233" s="190"/>
    </row>
    <row r="234" spans="1:7" x14ac:dyDescent="0.25">
      <c r="A234" s="190"/>
      <c r="B234" s="190"/>
      <c r="C234" s="190"/>
      <c r="D234" s="190"/>
      <c r="E234" s="190"/>
      <c r="F234" s="190"/>
      <c r="G234" s="190"/>
    </row>
    <row r="235" spans="1:7" x14ac:dyDescent="0.25">
      <c r="A235" s="190"/>
      <c r="B235" s="190"/>
      <c r="C235" s="190"/>
      <c r="D235" s="190"/>
      <c r="E235" s="190"/>
      <c r="F235" s="190"/>
      <c r="G235" s="190"/>
    </row>
    <row r="236" spans="1:7" x14ac:dyDescent="0.25">
      <c r="A236" s="190"/>
      <c r="B236" s="190"/>
      <c r="C236" s="190"/>
      <c r="D236" s="190"/>
      <c r="E236" s="190"/>
      <c r="F236" s="190"/>
      <c r="G236" s="190"/>
    </row>
    <row r="237" spans="1:7" x14ac:dyDescent="0.25">
      <c r="A237" s="190"/>
      <c r="B237" s="190"/>
      <c r="C237" s="190"/>
      <c r="D237" s="190"/>
      <c r="E237" s="190"/>
      <c r="F237" s="190"/>
      <c r="G237" s="190"/>
    </row>
    <row r="238" spans="1:7" x14ac:dyDescent="0.25">
      <c r="A238" s="190"/>
      <c r="B238" s="190"/>
      <c r="C238" s="190"/>
      <c r="D238" s="190"/>
      <c r="E238" s="190"/>
      <c r="F238" s="190"/>
      <c r="G238" s="190"/>
    </row>
    <row r="239" spans="1:7" x14ac:dyDescent="0.25">
      <c r="A239" s="190"/>
      <c r="B239" s="190"/>
      <c r="C239" s="190"/>
      <c r="D239" s="190"/>
      <c r="E239" s="190"/>
      <c r="F239" s="190"/>
      <c r="G239" s="190"/>
    </row>
    <row r="240" spans="1:7" x14ac:dyDescent="0.25">
      <c r="A240" s="190"/>
      <c r="B240" s="190"/>
      <c r="C240" s="190"/>
      <c r="D240" s="190"/>
      <c r="E240" s="190"/>
      <c r="F240" s="190"/>
      <c r="G240" s="190"/>
    </row>
    <row r="241" spans="1:7" x14ac:dyDescent="0.25">
      <c r="A241" s="190"/>
      <c r="B241" s="190"/>
      <c r="C241" s="190"/>
      <c r="D241" s="190"/>
      <c r="E241" s="190"/>
      <c r="F241" s="190"/>
      <c r="G241" s="190"/>
    </row>
    <row r="242" spans="1:7" x14ac:dyDescent="0.25">
      <c r="A242" s="190"/>
      <c r="B242" s="190"/>
      <c r="C242" s="190"/>
      <c r="D242" s="190"/>
      <c r="E242" s="190"/>
      <c r="F242" s="190"/>
      <c r="G242" s="190"/>
    </row>
    <row r="243" spans="1:7" x14ac:dyDescent="0.25">
      <c r="A243" s="190"/>
      <c r="B243" s="190"/>
      <c r="C243" s="190"/>
      <c r="D243" s="190"/>
      <c r="E243" s="190"/>
      <c r="F243" s="190"/>
      <c r="G243" s="190"/>
    </row>
    <row r="244" spans="1:7" x14ac:dyDescent="0.25">
      <c r="A244" s="190"/>
      <c r="B244" s="190"/>
      <c r="C244" s="190"/>
      <c r="D244" s="190"/>
      <c r="E244" s="190"/>
      <c r="F244" s="190"/>
      <c r="G244" s="190"/>
    </row>
    <row r="245" spans="1:7" x14ac:dyDescent="0.25">
      <c r="A245" s="190"/>
      <c r="B245" s="190"/>
      <c r="C245" s="190"/>
      <c r="D245" s="190"/>
      <c r="E245" s="190"/>
      <c r="F245" s="190"/>
      <c r="G245" s="190"/>
    </row>
    <row r="246" spans="1:7" x14ac:dyDescent="0.25">
      <c r="A246" s="190"/>
      <c r="B246" s="190"/>
      <c r="C246" s="190"/>
      <c r="D246" s="190"/>
      <c r="E246" s="190"/>
      <c r="F246" s="190"/>
      <c r="G246" s="190"/>
    </row>
    <row r="247" spans="1:7" x14ac:dyDescent="0.25">
      <c r="A247" s="190"/>
      <c r="B247" s="190"/>
      <c r="C247" s="190"/>
      <c r="D247" s="190"/>
      <c r="E247" s="190"/>
      <c r="F247" s="190"/>
      <c r="G247" s="190"/>
    </row>
    <row r="248" spans="1:7" x14ac:dyDescent="0.25">
      <c r="A248" s="190"/>
      <c r="B248" s="190"/>
      <c r="C248" s="190"/>
      <c r="D248" s="190"/>
      <c r="E248" s="190"/>
      <c r="F248" s="190"/>
      <c r="G248" s="190"/>
    </row>
    <row r="249" spans="1:7" x14ac:dyDescent="0.25">
      <c r="A249" s="190"/>
      <c r="B249" s="190"/>
      <c r="C249" s="190"/>
      <c r="D249" s="190"/>
      <c r="E249" s="190"/>
      <c r="F249" s="190"/>
      <c r="G249" s="190"/>
    </row>
    <row r="250" spans="1:7" x14ac:dyDescent="0.25">
      <c r="A250" s="190"/>
      <c r="B250" s="190"/>
      <c r="C250" s="190"/>
      <c r="D250" s="190"/>
      <c r="E250" s="190"/>
      <c r="F250" s="190"/>
      <c r="G250" s="190"/>
    </row>
    <row r="251" spans="1:7" x14ac:dyDescent="0.25">
      <c r="A251" s="190"/>
      <c r="B251" s="190"/>
      <c r="C251" s="190"/>
      <c r="D251" s="190"/>
      <c r="E251" s="190"/>
      <c r="F251" s="190"/>
      <c r="G251" s="190"/>
    </row>
    <row r="252" spans="1:7" x14ac:dyDescent="0.25">
      <c r="A252" s="190"/>
      <c r="B252" s="190"/>
      <c r="C252" s="190"/>
      <c r="D252" s="190"/>
      <c r="E252" s="190"/>
      <c r="F252" s="190"/>
      <c r="G252" s="190"/>
    </row>
    <row r="253" spans="1:7" x14ac:dyDescent="0.25">
      <c r="A253" s="190"/>
      <c r="B253" s="190"/>
      <c r="C253" s="190"/>
      <c r="D253" s="190"/>
      <c r="E253" s="190"/>
      <c r="F253" s="190"/>
      <c r="G253" s="190"/>
    </row>
    <row r="254" spans="1:7" x14ac:dyDescent="0.25">
      <c r="A254" s="190"/>
      <c r="B254" s="190"/>
      <c r="C254" s="190"/>
      <c r="D254" s="190"/>
      <c r="E254" s="190"/>
      <c r="F254" s="190"/>
      <c r="G254" s="190"/>
    </row>
    <row r="255" spans="1:7" x14ac:dyDescent="0.25">
      <c r="A255" s="190"/>
      <c r="B255" s="190"/>
      <c r="C255" s="190"/>
      <c r="D255" s="190"/>
      <c r="E255" s="190"/>
      <c r="F255" s="190"/>
      <c r="G255" s="190"/>
    </row>
    <row r="256" spans="1:7" x14ac:dyDescent="0.25">
      <c r="A256" s="190"/>
      <c r="B256" s="190"/>
      <c r="C256" s="190"/>
      <c r="D256" s="190"/>
      <c r="E256" s="190"/>
      <c r="F256" s="190"/>
      <c r="G256" s="190"/>
    </row>
    <row r="257" spans="1:7" x14ac:dyDescent="0.25">
      <c r="A257" s="190"/>
      <c r="B257" s="190"/>
      <c r="C257" s="190"/>
      <c r="D257" s="190"/>
      <c r="E257" s="190"/>
      <c r="F257" s="190"/>
      <c r="G257" s="190"/>
    </row>
    <row r="258" spans="1:7" x14ac:dyDescent="0.25">
      <c r="A258" s="190"/>
      <c r="B258" s="190"/>
      <c r="C258" s="190"/>
      <c r="D258" s="190"/>
      <c r="E258" s="190"/>
      <c r="F258" s="190"/>
      <c r="G258" s="190"/>
    </row>
    <row r="259" spans="1:7" x14ac:dyDescent="0.25">
      <c r="A259" s="190"/>
      <c r="B259" s="190"/>
      <c r="C259" s="190"/>
      <c r="D259" s="190"/>
      <c r="E259" s="190"/>
      <c r="F259" s="190"/>
      <c r="G259" s="190"/>
    </row>
    <row r="260" spans="1:7" x14ac:dyDescent="0.25">
      <c r="A260" s="190"/>
      <c r="B260" s="190"/>
      <c r="C260" s="190"/>
      <c r="D260" s="190"/>
      <c r="E260" s="190"/>
      <c r="F260" s="190"/>
      <c r="G260" s="190"/>
    </row>
    <row r="261" spans="1:7" x14ac:dyDescent="0.25">
      <c r="A261" s="190"/>
      <c r="B261" s="190"/>
      <c r="C261" s="190"/>
      <c r="D261" s="190"/>
      <c r="E261" s="190"/>
      <c r="F261" s="190"/>
      <c r="G261" s="190"/>
    </row>
    <row r="262" spans="1:7" x14ac:dyDescent="0.25">
      <c r="A262" s="190"/>
      <c r="B262" s="190"/>
      <c r="C262" s="190"/>
      <c r="D262" s="190"/>
      <c r="E262" s="190"/>
      <c r="F262" s="190"/>
      <c r="G262" s="190"/>
    </row>
    <row r="263" spans="1:7" x14ac:dyDescent="0.25">
      <c r="A263" s="190"/>
      <c r="B263" s="190"/>
      <c r="C263" s="190"/>
      <c r="D263" s="190"/>
      <c r="E263" s="190"/>
      <c r="F263" s="190"/>
      <c r="G263" s="190"/>
    </row>
    <row r="264" spans="1:7" x14ac:dyDescent="0.25">
      <c r="A264" s="190"/>
      <c r="B264" s="190"/>
      <c r="C264" s="190"/>
      <c r="D264" s="190"/>
      <c r="E264" s="190"/>
      <c r="F264" s="190"/>
      <c r="G264" s="190"/>
    </row>
    <row r="265" spans="1:7" x14ac:dyDescent="0.25">
      <c r="A265" s="190"/>
      <c r="B265" s="190"/>
      <c r="C265" s="190"/>
      <c r="D265" s="190"/>
      <c r="E265" s="190"/>
      <c r="F265" s="190"/>
      <c r="G265" s="190"/>
    </row>
    <row r="266" spans="1:7" x14ac:dyDescent="0.25">
      <c r="A266" s="190"/>
      <c r="B266" s="190"/>
      <c r="C266" s="190"/>
      <c r="D266" s="190"/>
      <c r="E266" s="190"/>
      <c r="F266" s="190"/>
      <c r="G266" s="190"/>
    </row>
    <row r="267" spans="1:7" x14ac:dyDescent="0.25">
      <c r="A267" s="190"/>
      <c r="B267" s="190"/>
      <c r="C267" s="190"/>
      <c r="D267" s="190"/>
      <c r="E267" s="190"/>
      <c r="F267" s="190"/>
      <c r="G267" s="190"/>
    </row>
    <row r="268" spans="1:7" x14ac:dyDescent="0.25">
      <c r="A268" s="190"/>
      <c r="B268" s="190"/>
      <c r="C268" s="190"/>
      <c r="D268" s="190"/>
      <c r="E268" s="190"/>
      <c r="F268" s="190"/>
      <c r="G268" s="190"/>
    </row>
    <row r="269" spans="1:7" x14ac:dyDescent="0.25">
      <c r="A269" s="190"/>
      <c r="B269" s="190"/>
      <c r="C269" s="190"/>
      <c r="D269" s="190"/>
      <c r="E269" s="190"/>
      <c r="F269" s="190"/>
      <c r="G269" s="190"/>
    </row>
    <row r="270" spans="1:7" x14ac:dyDescent="0.25">
      <c r="A270" s="190"/>
      <c r="B270" s="190"/>
      <c r="C270" s="190"/>
      <c r="D270" s="190"/>
      <c r="E270" s="190"/>
      <c r="F270" s="190"/>
      <c r="G270" s="190"/>
    </row>
    <row r="271" spans="1:7" x14ac:dyDescent="0.25">
      <c r="A271" s="190"/>
      <c r="B271" s="190"/>
      <c r="C271" s="190"/>
      <c r="D271" s="190"/>
      <c r="E271" s="190"/>
      <c r="F271" s="190"/>
      <c r="G271" s="190"/>
    </row>
    <row r="272" spans="1:7" x14ac:dyDescent="0.25">
      <c r="A272" s="190"/>
      <c r="B272" s="190"/>
      <c r="C272" s="190"/>
      <c r="D272" s="190"/>
      <c r="E272" s="190"/>
      <c r="F272" s="190"/>
      <c r="G272" s="190"/>
    </row>
    <row r="273" spans="1:7" x14ac:dyDescent="0.25">
      <c r="A273" s="190"/>
      <c r="B273" s="190"/>
      <c r="C273" s="190"/>
      <c r="D273" s="190"/>
      <c r="E273" s="190"/>
      <c r="F273" s="190"/>
      <c r="G273" s="190"/>
    </row>
    <row r="274" spans="1:7" x14ac:dyDescent="0.25">
      <c r="A274" s="190"/>
      <c r="B274" s="190"/>
      <c r="C274" s="190"/>
      <c r="D274" s="190"/>
      <c r="E274" s="190"/>
      <c r="F274" s="190"/>
      <c r="G274" s="190"/>
    </row>
    <row r="275" spans="1:7" x14ac:dyDescent="0.25">
      <c r="A275" s="190"/>
      <c r="B275" s="190"/>
      <c r="C275" s="190"/>
      <c r="D275" s="190"/>
      <c r="E275" s="190"/>
      <c r="F275" s="190"/>
      <c r="G275" s="190"/>
    </row>
    <row r="276" spans="1:7" x14ac:dyDescent="0.25">
      <c r="A276" s="190"/>
      <c r="B276" s="190"/>
      <c r="C276" s="190"/>
      <c r="D276" s="190"/>
      <c r="E276" s="190"/>
      <c r="F276" s="190"/>
      <c r="G276" s="190"/>
    </row>
    <row r="277" spans="1:7" x14ac:dyDescent="0.25">
      <c r="A277" s="190"/>
      <c r="B277" s="190"/>
      <c r="C277" s="190"/>
      <c r="D277" s="190"/>
      <c r="E277" s="190"/>
      <c r="F277" s="190"/>
      <c r="G277" s="190"/>
    </row>
    <row r="278" spans="1:7" x14ac:dyDescent="0.25">
      <c r="A278" s="190"/>
      <c r="B278" s="190"/>
      <c r="C278" s="190"/>
      <c r="D278" s="190"/>
      <c r="E278" s="190"/>
      <c r="F278" s="190"/>
      <c r="G278" s="190"/>
    </row>
    <row r="279" spans="1:7" x14ac:dyDescent="0.25">
      <c r="A279" s="190"/>
      <c r="B279" s="190"/>
      <c r="C279" s="190"/>
      <c r="D279" s="190"/>
      <c r="E279" s="190"/>
      <c r="F279" s="190"/>
      <c r="G279" s="190"/>
    </row>
    <row r="280" spans="1:7" x14ac:dyDescent="0.25">
      <c r="A280" s="190"/>
      <c r="B280" s="190"/>
      <c r="C280" s="190"/>
      <c r="D280" s="190"/>
      <c r="E280" s="190"/>
      <c r="F280" s="190"/>
      <c r="G280" s="190"/>
    </row>
    <row r="281" spans="1:7" x14ac:dyDescent="0.25">
      <c r="A281" s="190"/>
      <c r="B281" s="190"/>
      <c r="C281" s="190"/>
      <c r="D281" s="190"/>
      <c r="E281" s="190"/>
      <c r="F281" s="190"/>
      <c r="G281" s="190"/>
    </row>
    <row r="282" spans="1:7" x14ac:dyDescent="0.25">
      <c r="A282" s="190"/>
      <c r="B282" s="190"/>
      <c r="C282" s="190"/>
      <c r="D282" s="190"/>
      <c r="E282" s="190"/>
      <c r="F282" s="190"/>
      <c r="G282" s="190"/>
    </row>
    <row r="283" spans="1:7" x14ac:dyDescent="0.25">
      <c r="A283" s="190"/>
      <c r="B283" s="190"/>
      <c r="C283" s="190"/>
      <c r="D283" s="190"/>
      <c r="E283" s="190"/>
      <c r="F283" s="190"/>
      <c r="G283" s="190"/>
    </row>
    <row r="284" spans="1:7" x14ac:dyDescent="0.25">
      <c r="A284" s="190"/>
      <c r="B284" s="190"/>
      <c r="C284" s="190"/>
      <c r="D284" s="190"/>
      <c r="E284" s="190"/>
      <c r="F284" s="190"/>
      <c r="G284" s="190"/>
    </row>
    <row r="285" spans="1:7" x14ac:dyDescent="0.25">
      <c r="A285" s="190"/>
      <c r="B285" s="190"/>
      <c r="C285" s="190"/>
      <c r="D285" s="190"/>
      <c r="E285" s="190"/>
      <c r="F285" s="190"/>
      <c r="G285" s="190"/>
    </row>
    <row r="286" spans="1:7" x14ac:dyDescent="0.25">
      <c r="A286" s="190"/>
      <c r="B286" s="190"/>
      <c r="C286" s="190"/>
      <c r="D286" s="190"/>
      <c r="E286" s="190"/>
      <c r="F286" s="190"/>
      <c r="G286" s="190"/>
    </row>
    <row r="287" spans="1:7" x14ac:dyDescent="0.25">
      <c r="A287" s="190"/>
      <c r="B287" s="190"/>
      <c r="C287" s="190"/>
      <c r="D287" s="190"/>
      <c r="E287" s="190"/>
      <c r="F287" s="190"/>
      <c r="G287" s="190"/>
    </row>
    <row r="288" spans="1:7" x14ac:dyDescent="0.25">
      <c r="A288" s="190"/>
      <c r="B288" s="190"/>
      <c r="C288" s="190"/>
      <c r="D288" s="190"/>
      <c r="E288" s="190"/>
      <c r="F288" s="190"/>
      <c r="G288" s="190"/>
    </row>
    <row r="289" spans="1:7" x14ac:dyDescent="0.25">
      <c r="A289" s="190"/>
      <c r="B289" s="190"/>
      <c r="C289" s="190"/>
      <c r="D289" s="190"/>
      <c r="E289" s="190"/>
      <c r="F289" s="190"/>
      <c r="G289" s="190"/>
    </row>
    <row r="290" spans="1:7" x14ac:dyDescent="0.25">
      <c r="A290" s="190"/>
      <c r="B290" s="190"/>
      <c r="C290" s="190"/>
      <c r="D290" s="190"/>
      <c r="E290" s="190"/>
      <c r="F290" s="190"/>
      <c r="G290" s="190"/>
    </row>
    <row r="291" spans="1:7" x14ac:dyDescent="0.25">
      <c r="A291" s="190"/>
      <c r="B291" s="190"/>
      <c r="C291" s="190"/>
      <c r="D291" s="190"/>
      <c r="E291" s="190"/>
      <c r="F291" s="190"/>
      <c r="G291" s="190"/>
    </row>
    <row r="292" spans="1:7" x14ac:dyDescent="0.25">
      <c r="A292" s="190"/>
      <c r="B292" s="190"/>
      <c r="C292" s="190"/>
      <c r="D292" s="190"/>
      <c r="E292" s="190"/>
      <c r="F292" s="190"/>
      <c r="G292" s="190"/>
    </row>
    <row r="293" spans="1:7" x14ac:dyDescent="0.25">
      <c r="A293" s="190"/>
      <c r="B293" s="190"/>
      <c r="C293" s="190"/>
      <c r="D293" s="190"/>
      <c r="E293" s="190"/>
      <c r="F293" s="190"/>
      <c r="G293" s="190"/>
    </row>
    <row r="294" spans="1:7" x14ac:dyDescent="0.25">
      <c r="A294" s="190"/>
      <c r="B294" s="190"/>
      <c r="C294" s="190"/>
      <c r="D294" s="190"/>
      <c r="E294" s="190"/>
      <c r="F294" s="190"/>
      <c r="G294" s="190"/>
    </row>
    <row r="295" spans="1:7" x14ac:dyDescent="0.25">
      <c r="A295" s="190"/>
      <c r="B295" s="190"/>
      <c r="C295" s="190"/>
      <c r="D295" s="190"/>
      <c r="E295" s="190"/>
      <c r="F295" s="190"/>
      <c r="G295" s="190"/>
    </row>
    <row r="296" spans="1:7" x14ac:dyDescent="0.25">
      <c r="A296" s="190"/>
      <c r="B296" s="190"/>
      <c r="C296" s="190"/>
      <c r="D296" s="190"/>
      <c r="E296" s="190"/>
      <c r="F296" s="190"/>
      <c r="G296" s="190"/>
    </row>
    <row r="297" spans="1:7" x14ac:dyDescent="0.25">
      <c r="A297" s="190"/>
      <c r="B297" s="190"/>
      <c r="C297" s="190"/>
      <c r="D297" s="190"/>
      <c r="E297" s="190"/>
      <c r="F297" s="190"/>
      <c r="G297" s="190"/>
    </row>
    <row r="298" spans="1:7" x14ac:dyDescent="0.25">
      <c r="A298" s="190"/>
      <c r="B298" s="190"/>
      <c r="C298" s="190"/>
      <c r="D298" s="190"/>
      <c r="E298" s="190"/>
      <c r="F298" s="190"/>
      <c r="G298" s="190"/>
    </row>
    <row r="299" spans="1:7" x14ac:dyDescent="0.25">
      <c r="A299" s="190"/>
      <c r="B299" s="190"/>
      <c r="C299" s="190"/>
      <c r="D299" s="190"/>
      <c r="E299" s="190"/>
      <c r="F299" s="190"/>
      <c r="G299" s="190"/>
    </row>
    <row r="300" spans="1:7" x14ac:dyDescent="0.25">
      <c r="A300" s="190"/>
      <c r="B300" s="190"/>
      <c r="C300" s="190"/>
      <c r="D300" s="190"/>
      <c r="E300" s="190"/>
      <c r="F300" s="190"/>
      <c r="G300" s="190"/>
    </row>
    <row r="301" spans="1:7" x14ac:dyDescent="0.25">
      <c r="A301" s="190"/>
      <c r="B301" s="190"/>
      <c r="C301" s="190"/>
      <c r="D301" s="190"/>
      <c r="E301" s="190"/>
      <c r="F301" s="190"/>
      <c r="G301" s="190"/>
    </row>
    <row r="302" spans="1:7" x14ac:dyDescent="0.25">
      <c r="A302" s="190"/>
      <c r="B302" s="190"/>
      <c r="C302" s="190"/>
      <c r="D302" s="190"/>
      <c r="E302" s="190"/>
      <c r="F302" s="190"/>
      <c r="G302" s="190"/>
    </row>
    <row r="303" spans="1:7" x14ac:dyDescent="0.25">
      <c r="A303" s="190"/>
      <c r="B303" s="190"/>
      <c r="C303" s="190"/>
      <c r="D303" s="190"/>
      <c r="E303" s="190"/>
      <c r="F303" s="190"/>
      <c r="G303" s="190"/>
    </row>
    <row r="304" spans="1:7" x14ac:dyDescent="0.25">
      <c r="A304" s="190"/>
      <c r="B304" s="190"/>
      <c r="C304" s="190"/>
      <c r="D304" s="190"/>
      <c r="E304" s="190"/>
      <c r="F304" s="190"/>
      <c r="G304" s="190"/>
    </row>
    <row r="305" spans="1:7" x14ac:dyDescent="0.25">
      <c r="A305" s="190"/>
      <c r="B305" s="190"/>
      <c r="C305" s="190"/>
      <c r="D305" s="190"/>
      <c r="E305" s="190"/>
      <c r="F305" s="190"/>
      <c r="G305" s="190"/>
    </row>
    <row r="306" spans="1:7" x14ac:dyDescent="0.25">
      <c r="A306" s="190"/>
      <c r="B306" s="190"/>
      <c r="C306" s="190"/>
      <c r="D306" s="190"/>
      <c r="E306" s="190"/>
      <c r="F306" s="190"/>
      <c r="G306" s="190"/>
    </row>
    <row r="307" spans="1:7" x14ac:dyDescent="0.25">
      <c r="A307" s="190"/>
      <c r="B307" s="190"/>
      <c r="C307" s="190"/>
      <c r="D307" s="190"/>
      <c r="E307" s="190"/>
      <c r="F307" s="190"/>
      <c r="G307" s="190"/>
    </row>
  </sheetData>
  <pageMargins left="0.59055118110236227" right="0" top="0.59055118110236227" bottom="0" header="0" footer="0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330"/>
  <sheetViews>
    <sheetView tabSelected="1" topLeftCell="C1" zoomScale="106" zoomScaleNormal="115" workbookViewId="0">
      <pane ySplit="6" topLeftCell="A307" activePane="bottomLeft" state="frozen"/>
      <selection pane="bottomLeft" activeCell="P316" sqref="P316"/>
    </sheetView>
  </sheetViews>
  <sheetFormatPr defaultColWidth="11.42578125" defaultRowHeight="15" x14ac:dyDescent="0.25"/>
  <cols>
    <col min="1" max="1" width="5.28515625" customWidth="1"/>
    <col min="2" max="2" width="9" style="36" bestFit="1" customWidth="1"/>
    <col min="3" max="3" width="17.28515625" customWidth="1"/>
    <col min="4" max="4" width="56" style="36" customWidth="1"/>
    <col min="6" max="6" width="14" style="36" customWidth="1"/>
    <col min="7" max="13" width="11.42578125" style="36"/>
    <col min="15" max="15" width="12.140625" style="36" bestFit="1" customWidth="1"/>
    <col min="16" max="16" width="47.85546875" style="36" customWidth="1"/>
  </cols>
  <sheetData>
    <row r="2" spans="1:16" thickBot="1" x14ac:dyDescent="0.35"/>
    <row r="3" spans="1:16" thickBot="1" x14ac:dyDescent="0.35">
      <c r="B3" s="203" t="s">
        <v>66</v>
      </c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5"/>
    </row>
    <row r="5" spans="1:16" thickBot="1" x14ac:dyDescent="0.35"/>
    <row r="6" spans="1:16" ht="16.5" thickBot="1" x14ac:dyDescent="0.3">
      <c r="A6" t="s">
        <v>121</v>
      </c>
      <c r="B6" s="51" t="s">
        <v>57</v>
      </c>
      <c r="C6" s="52" t="s">
        <v>58</v>
      </c>
      <c r="D6" s="51" t="s">
        <v>59</v>
      </c>
      <c r="E6" s="52" t="s">
        <v>60</v>
      </c>
      <c r="F6" s="51" t="s">
        <v>61</v>
      </c>
      <c r="G6" s="51" t="s">
        <v>62</v>
      </c>
      <c r="H6" s="51" t="s">
        <v>63</v>
      </c>
      <c r="I6" s="51" t="s">
        <v>64</v>
      </c>
      <c r="J6" s="51" t="s">
        <v>65</v>
      </c>
      <c r="K6" s="51" t="s">
        <v>167</v>
      </c>
      <c r="L6" s="51" t="s">
        <v>168</v>
      </c>
      <c r="M6" s="51" t="s">
        <v>169</v>
      </c>
      <c r="N6" s="52" t="s">
        <v>98</v>
      </c>
      <c r="O6" s="51" t="s">
        <v>68</v>
      </c>
      <c r="P6" s="51" t="s">
        <v>76</v>
      </c>
    </row>
    <row r="7" spans="1:16" s="89" customFormat="1" ht="14.45" x14ac:dyDescent="0.3">
      <c r="A7" s="89">
        <v>1</v>
      </c>
      <c r="B7" s="90">
        <v>101</v>
      </c>
      <c r="C7" s="91" t="str">
        <f>IF(ISERROR(VLOOKUP(B7,CLIENTES!A:B,2,0)),"",VLOOKUP(B7,CLIENTES!A:B,2,0))</f>
        <v>Gabriela Maykel</v>
      </c>
      <c r="D7" s="92" t="s">
        <v>30</v>
      </c>
      <c r="E7" s="93">
        <f>IF(ISERROR(VLOOKUP(D7,'Lista de Precio '!A:C,3,0)),"",VLOOKUP(D7,'Lista de Precio '!A:C,3,0))</f>
        <v>45</v>
      </c>
      <c r="F7" s="94">
        <v>45837</v>
      </c>
      <c r="G7" s="95">
        <v>10</v>
      </c>
      <c r="H7" s="95">
        <v>10</v>
      </c>
      <c r="I7" s="95">
        <v>5</v>
      </c>
      <c r="J7" s="96">
        <v>10</v>
      </c>
      <c r="K7" s="96">
        <v>5</v>
      </c>
      <c r="L7" s="96">
        <v>5</v>
      </c>
      <c r="M7" s="96"/>
      <c r="N7" s="93">
        <f>IF(D7="","",E7-G7-H7-I7-J7-K7-L7-M7)</f>
        <v>0</v>
      </c>
      <c r="O7" s="94">
        <v>45898</v>
      </c>
      <c r="P7" s="97"/>
    </row>
    <row r="8" spans="1:16" ht="14.45" x14ac:dyDescent="0.3">
      <c r="A8">
        <v>2</v>
      </c>
      <c r="B8" s="83">
        <v>102</v>
      </c>
      <c r="C8" s="54" t="str">
        <f>IF(ISERROR(VLOOKUP(B8,CLIENTES!A:B,2,0)),"",VLOOKUP(B8,CLIENTES!A:B,2,0))</f>
        <v>Genesis Torres</v>
      </c>
      <c r="D8" s="84" t="s">
        <v>16</v>
      </c>
      <c r="E8" s="55">
        <f>IF(ISERROR(VLOOKUP(D8,'Lista de Precio '!A:C,3,0)),"",VLOOKUP(D8,'Lista de Precio '!A:C,3,0))</f>
        <v>75</v>
      </c>
      <c r="F8" s="85">
        <v>45837</v>
      </c>
      <c r="G8" s="86">
        <v>20</v>
      </c>
      <c r="H8" s="86">
        <v>20</v>
      </c>
      <c r="I8" s="86">
        <v>20</v>
      </c>
      <c r="J8" s="87">
        <v>15</v>
      </c>
      <c r="K8" s="87"/>
      <c r="L8" s="87"/>
      <c r="M8" s="87"/>
      <c r="N8" s="93">
        <f t="shared" ref="N8:N71" si="0">IF(D8="","",E8-G8-H8-I8-J8-K8-L8-M8)</f>
        <v>0</v>
      </c>
      <c r="O8" s="85">
        <v>45898</v>
      </c>
      <c r="P8" s="88"/>
    </row>
    <row r="9" spans="1:16" ht="14.45" x14ac:dyDescent="0.3">
      <c r="A9">
        <v>3</v>
      </c>
      <c r="B9" s="83">
        <v>102</v>
      </c>
      <c r="C9" s="54" t="str">
        <f>IF(ISERROR(VLOOKUP(B9,CLIENTES!A:B,2,0)),"",VLOOKUP(B9,CLIENTES!A:B,2,0))</f>
        <v>Genesis Torres</v>
      </c>
      <c r="D9" s="84" t="s">
        <v>15</v>
      </c>
      <c r="E9" s="55">
        <f>IF(ISERROR(VLOOKUP(D9,'Lista de Precio '!A:C,3,0)),"",VLOOKUP(D9,'Lista de Precio '!A:C,3,0))</f>
        <v>100</v>
      </c>
      <c r="F9" s="85">
        <v>45867</v>
      </c>
      <c r="G9" s="86">
        <v>20</v>
      </c>
      <c r="H9" s="86">
        <v>20</v>
      </c>
      <c r="I9" s="86">
        <v>20</v>
      </c>
      <c r="J9" s="87">
        <v>15</v>
      </c>
      <c r="K9" s="87">
        <v>25</v>
      </c>
      <c r="L9" s="87"/>
      <c r="M9" s="87"/>
      <c r="N9" s="93">
        <f t="shared" si="0"/>
        <v>0</v>
      </c>
      <c r="O9" s="85">
        <v>45898</v>
      </c>
      <c r="P9" s="88"/>
    </row>
    <row r="10" spans="1:16" ht="14.45" x14ac:dyDescent="0.3">
      <c r="A10">
        <v>4</v>
      </c>
      <c r="B10" s="83">
        <v>103</v>
      </c>
      <c r="C10" s="54" t="str">
        <f>IF(ISERROR(VLOOKUP(B10,CLIENTES!A:B,2,0)),"",VLOOKUP(B10,CLIENTES!A:B,2,0))</f>
        <v xml:space="preserve">Wenrit Corro </v>
      </c>
      <c r="D10" s="84" t="s">
        <v>10</v>
      </c>
      <c r="E10" s="55">
        <f>IF(ISERROR(VLOOKUP(D10,'Lista de Precio '!A:C,3,0)),"",VLOOKUP(D10,'Lista de Precio '!A:C,3,0))</f>
        <v>65</v>
      </c>
      <c r="F10" s="85">
        <v>45837</v>
      </c>
      <c r="G10" s="86">
        <v>20</v>
      </c>
      <c r="H10" s="86">
        <v>20</v>
      </c>
      <c r="I10" s="86">
        <v>20</v>
      </c>
      <c r="J10" s="87">
        <v>5</v>
      </c>
      <c r="K10" s="87"/>
      <c r="L10" s="87"/>
      <c r="M10" s="87"/>
      <c r="N10" s="93">
        <f t="shared" si="0"/>
        <v>0</v>
      </c>
      <c r="O10" s="85">
        <v>45898</v>
      </c>
      <c r="P10" s="88" t="s">
        <v>77</v>
      </c>
    </row>
    <row r="11" spans="1:16" ht="14.45" x14ac:dyDescent="0.3">
      <c r="A11">
        <v>5</v>
      </c>
      <c r="B11" s="83">
        <v>104</v>
      </c>
      <c r="C11" s="54" t="str">
        <f>IF(ISERROR(VLOOKUP(B11,CLIENTES!A:B,2,0)),"",VLOOKUP(B11,CLIENTES!A:B,2,0))</f>
        <v>Maria Quintana</v>
      </c>
      <c r="D11" s="84" t="s">
        <v>42</v>
      </c>
      <c r="E11" s="55">
        <f>IF(ISERROR(VLOOKUP(D11,'Lista de Precio '!A:C,3,0)),"",VLOOKUP(D11,'Lista de Precio '!A:C,3,0))</f>
        <v>55</v>
      </c>
      <c r="F11" s="85">
        <v>45837</v>
      </c>
      <c r="G11" s="86">
        <v>20</v>
      </c>
      <c r="H11" s="86">
        <v>20</v>
      </c>
      <c r="I11" s="86">
        <v>15</v>
      </c>
      <c r="J11" s="87"/>
      <c r="K11" s="87"/>
      <c r="L11" s="87"/>
      <c r="M11" s="87"/>
      <c r="N11" s="93">
        <f t="shared" si="0"/>
        <v>0</v>
      </c>
      <c r="O11" s="85">
        <v>45898</v>
      </c>
      <c r="P11" s="88"/>
    </row>
    <row r="12" spans="1:16" ht="14.45" x14ac:dyDescent="0.3">
      <c r="A12">
        <v>6</v>
      </c>
      <c r="B12" s="83">
        <v>105</v>
      </c>
      <c r="C12" s="54" t="str">
        <f>IF(ISERROR(VLOOKUP(B12,CLIENTES!A:B,2,0)),"",VLOOKUP(B12,CLIENTES!A:B,2,0))</f>
        <v>Yonathan Gamez</v>
      </c>
      <c r="D12" s="84" t="s">
        <v>7</v>
      </c>
      <c r="E12" s="55">
        <f>IF(ISERROR(VLOOKUP(D12,'Lista de Precio '!A:C,3,0)),"",VLOOKUP(D12,'Lista de Precio '!A:C,3,0))</f>
        <v>60</v>
      </c>
      <c r="F12" s="85">
        <v>45837</v>
      </c>
      <c r="G12" s="86">
        <v>25</v>
      </c>
      <c r="H12" s="86">
        <v>20</v>
      </c>
      <c r="I12" s="86">
        <v>15</v>
      </c>
      <c r="J12" s="87"/>
      <c r="K12" s="87"/>
      <c r="L12" s="87"/>
      <c r="M12" s="87"/>
      <c r="N12" s="93">
        <f t="shared" si="0"/>
        <v>0</v>
      </c>
      <c r="O12" s="46">
        <v>45897</v>
      </c>
      <c r="P12" s="50"/>
    </row>
    <row r="13" spans="1:16" ht="14.45" x14ac:dyDescent="0.3">
      <c r="A13">
        <v>7</v>
      </c>
      <c r="B13" s="83">
        <v>105</v>
      </c>
      <c r="C13" s="54" t="str">
        <f>IF(ISERROR(VLOOKUP(B13,CLIENTES!A:B,2,0)),"",VLOOKUP(B13,CLIENTES!A:B,2,0))</f>
        <v>Yonathan Gamez</v>
      </c>
      <c r="D13" s="84" t="s">
        <v>92</v>
      </c>
      <c r="E13" s="55">
        <f>IF(ISERROR(VLOOKUP(D13,'Lista de Precio '!A:C,3,0)),"",VLOOKUP(D13,'Lista de Precio '!A:C,3,0))</f>
        <v>50</v>
      </c>
      <c r="F13" s="85">
        <v>45837</v>
      </c>
      <c r="G13" s="86">
        <v>45</v>
      </c>
      <c r="H13" s="86">
        <v>5</v>
      </c>
      <c r="I13" s="86"/>
      <c r="J13" s="87"/>
      <c r="K13" s="87"/>
      <c r="L13" s="87"/>
      <c r="M13" s="87"/>
      <c r="N13" s="93">
        <f t="shared" si="0"/>
        <v>0</v>
      </c>
      <c r="O13" s="85">
        <v>45898</v>
      </c>
      <c r="P13" s="88"/>
    </row>
    <row r="14" spans="1:16" ht="14.45" x14ac:dyDescent="0.3">
      <c r="A14">
        <v>8</v>
      </c>
      <c r="B14" s="83">
        <v>106</v>
      </c>
      <c r="C14" s="54" t="str">
        <f>IF(ISERROR(VLOOKUP(B14,CLIENTES!A:B,2,0)),"",VLOOKUP(B14,CLIENTES!A:B,2,0))</f>
        <v xml:space="preserve">Nani </v>
      </c>
      <c r="D14" s="84" t="s">
        <v>8</v>
      </c>
      <c r="E14" s="55">
        <f>IF(ISERROR(VLOOKUP(D14,'Lista de Precio '!A:C,3,0)),"",VLOOKUP(D14,'Lista de Precio '!A:C,3,0))</f>
        <v>60</v>
      </c>
      <c r="F14" s="85">
        <v>45834</v>
      </c>
      <c r="G14" s="86">
        <v>30</v>
      </c>
      <c r="H14" s="86">
        <v>30</v>
      </c>
      <c r="I14" s="86"/>
      <c r="J14" s="87"/>
      <c r="K14" s="87"/>
      <c r="L14" s="87"/>
      <c r="M14" s="87"/>
      <c r="N14" s="93">
        <f t="shared" si="0"/>
        <v>0</v>
      </c>
      <c r="O14" s="85">
        <v>45897</v>
      </c>
      <c r="P14" s="88"/>
    </row>
    <row r="15" spans="1:16" ht="14.45" x14ac:dyDescent="0.3">
      <c r="A15">
        <v>9</v>
      </c>
      <c r="B15" s="83">
        <v>107</v>
      </c>
      <c r="C15" s="54" t="str">
        <f>IF(ISERROR(VLOOKUP(B15,CLIENTES!A:B,2,0)),"",VLOOKUP(B15,CLIENTES!A:B,2,0))</f>
        <v>Yusneidy Alarcon</v>
      </c>
      <c r="D15" s="84" t="s">
        <v>20</v>
      </c>
      <c r="E15" s="55">
        <f>IF(ISERROR(VLOOKUP(D15,'Lista de Precio '!A:C,3,0)),"",VLOOKUP(D15,'Lista de Precio '!A:C,3,0))</f>
        <v>60</v>
      </c>
      <c r="F15" s="85">
        <v>45834</v>
      </c>
      <c r="G15" s="86">
        <v>30</v>
      </c>
      <c r="H15" s="86">
        <v>10</v>
      </c>
      <c r="I15" s="86">
        <v>20</v>
      </c>
      <c r="J15" s="87"/>
      <c r="K15" s="87"/>
      <c r="L15" s="87"/>
      <c r="M15" s="87"/>
      <c r="N15" s="93">
        <f t="shared" si="0"/>
        <v>0</v>
      </c>
      <c r="O15" s="85">
        <v>45897</v>
      </c>
      <c r="P15" s="88"/>
    </row>
    <row r="16" spans="1:16" ht="14.45" x14ac:dyDescent="0.3">
      <c r="A16">
        <v>10</v>
      </c>
      <c r="B16" s="83">
        <v>107</v>
      </c>
      <c r="C16" s="54" t="str">
        <f>IF(ISERROR(VLOOKUP(B16,CLIENTES!A:B,2,0)),"",VLOOKUP(B16,CLIENTES!A:B,2,0))</f>
        <v>Yusneidy Alarcon</v>
      </c>
      <c r="D16" s="84" t="s">
        <v>46</v>
      </c>
      <c r="E16" s="55">
        <f>IF(ISERROR(VLOOKUP(D16,'Lista de Precio '!A:C,3,0)),"",VLOOKUP(D16,'Lista de Precio '!A:C,3,0))</f>
        <v>45</v>
      </c>
      <c r="F16" s="85">
        <v>45834</v>
      </c>
      <c r="G16" s="86">
        <v>30</v>
      </c>
      <c r="H16" s="86">
        <v>10</v>
      </c>
      <c r="I16" s="86"/>
      <c r="J16" s="87"/>
      <c r="K16" s="87"/>
      <c r="L16" s="87"/>
      <c r="M16" s="87"/>
      <c r="N16" s="93">
        <f t="shared" si="0"/>
        <v>5</v>
      </c>
      <c r="O16" s="85">
        <v>45897</v>
      </c>
      <c r="P16" s="88"/>
    </row>
    <row r="17" spans="1:16" ht="14.45" x14ac:dyDescent="0.3">
      <c r="A17">
        <v>11</v>
      </c>
      <c r="B17" s="37">
        <v>108</v>
      </c>
      <c r="C17" s="20" t="str">
        <f>IF(ISERROR(VLOOKUP(B17,CLIENTES!A:B,2,0)),"",VLOOKUP(B17,CLIENTES!A:B,2,0))</f>
        <v>Yajaira</v>
      </c>
      <c r="D17" s="39" t="s">
        <v>46</v>
      </c>
      <c r="E17" s="21">
        <f>IF(ISERROR(VLOOKUP(D17,'Lista de Precio '!A:C,3,0)),"",VLOOKUP(D17,'Lista de Precio '!A:C,3,0))</f>
        <v>45</v>
      </c>
      <c r="F17" s="40">
        <v>45834</v>
      </c>
      <c r="G17" s="41">
        <v>20</v>
      </c>
      <c r="H17" s="41"/>
      <c r="I17" s="41"/>
      <c r="J17" s="42"/>
      <c r="K17" s="42"/>
      <c r="L17" s="42"/>
      <c r="M17" s="42"/>
      <c r="N17" s="53">
        <f t="shared" si="0"/>
        <v>25</v>
      </c>
      <c r="O17" s="40">
        <v>45898</v>
      </c>
      <c r="P17" s="49"/>
    </row>
    <row r="18" spans="1:16" ht="14.45" x14ac:dyDescent="0.3">
      <c r="A18">
        <v>12</v>
      </c>
      <c r="B18" s="38">
        <v>108</v>
      </c>
      <c r="C18" s="43" t="str">
        <f>IF(ISERROR(VLOOKUP(B18,CLIENTES!A:B,2,0)),"",VLOOKUP(B18,CLIENTES!A:B,2,0))</f>
        <v>Yajaira</v>
      </c>
      <c r="D18" s="44" t="s">
        <v>54</v>
      </c>
      <c r="E18" s="45">
        <f>IF(ISERROR(VLOOKUP(D18,'Lista de Precio '!A:C,3,0)),"",VLOOKUP(D18,'Lista de Precio '!A:C,3,0))</f>
        <v>60</v>
      </c>
      <c r="F18" s="46">
        <v>45834</v>
      </c>
      <c r="G18" s="47">
        <v>50</v>
      </c>
      <c r="H18" s="47"/>
      <c r="I18" s="47"/>
      <c r="J18" s="48"/>
      <c r="K18" s="48"/>
      <c r="L18" s="48"/>
      <c r="M18" s="48"/>
      <c r="N18" s="53">
        <f t="shared" si="0"/>
        <v>10</v>
      </c>
      <c r="O18" s="46">
        <v>45897</v>
      </c>
      <c r="P18" s="50"/>
    </row>
    <row r="19" spans="1:16" ht="14.45" x14ac:dyDescent="0.3">
      <c r="A19">
        <v>13</v>
      </c>
      <c r="B19" s="37">
        <v>108</v>
      </c>
      <c r="C19" s="20" t="str">
        <f>IF(ISERROR(VLOOKUP(B19,CLIENTES!A:B,2,0)),"",VLOOKUP(B19,CLIENTES!A:B,2,0))</f>
        <v>Yajaira</v>
      </c>
      <c r="D19" s="39" t="s">
        <v>97</v>
      </c>
      <c r="E19" s="21">
        <f>IF(ISERROR(VLOOKUP(D19,'Lista de Precio '!A:C,3,0)),"",VLOOKUP(D19,'Lista de Precio '!A:C,3,0))</f>
        <v>40</v>
      </c>
      <c r="F19" s="40">
        <v>45834</v>
      </c>
      <c r="G19" s="41">
        <v>20</v>
      </c>
      <c r="H19" s="41"/>
      <c r="I19" s="41"/>
      <c r="J19" s="42"/>
      <c r="K19" s="42"/>
      <c r="L19" s="42"/>
      <c r="M19" s="42"/>
      <c r="N19" s="53">
        <f t="shared" si="0"/>
        <v>20</v>
      </c>
      <c r="O19" s="40">
        <v>45898</v>
      </c>
      <c r="P19" s="49"/>
    </row>
    <row r="20" spans="1:16" ht="14.45" x14ac:dyDescent="0.3">
      <c r="A20">
        <v>14</v>
      </c>
      <c r="B20" s="83">
        <v>109</v>
      </c>
      <c r="C20" s="54" t="str">
        <f>IF(ISERROR(VLOOKUP(B20,CLIENTES!A:B,2,0)),"",VLOOKUP(B20,CLIENTES!A:B,2,0))</f>
        <v xml:space="preserve">Maria Mercedez </v>
      </c>
      <c r="D20" s="84" t="s">
        <v>31</v>
      </c>
      <c r="E20" s="55">
        <f>IF(ISERROR(VLOOKUP(D20,'Lista de Precio '!A:C,3,0)),"",VLOOKUP(D20,'Lista de Precio '!A:C,3,0))</f>
        <v>45</v>
      </c>
      <c r="F20" s="85">
        <v>45838</v>
      </c>
      <c r="G20" s="86">
        <v>20</v>
      </c>
      <c r="H20" s="86"/>
      <c r="I20" s="86"/>
      <c r="J20" s="87"/>
      <c r="K20" s="87"/>
      <c r="L20" s="87"/>
      <c r="M20" s="87"/>
      <c r="N20" s="93">
        <f t="shared" si="0"/>
        <v>25</v>
      </c>
      <c r="O20" s="85">
        <v>45899</v>
      </c>
      <c r="P20" s="88"/>
    </row>
    <row r="21" spans="1:16" ht="14.45" x14ac:dyDescent="0.3">
      <c r="A21">
        <v>15</v>
      </c>
      <c r="B21" s="83">
        <v>110</v>
      </c>
      <c r="C21" s="54" t="str">
        <f>IF(ISERROR(VLOOKUP(B21,CLIENTES!A:B,2,0)),"",VLOOKUP(B21,CLIENTES!A:B,2,0))</f>
        <v>Milana Medina</v>
      </c>
      <c r="D21" s="84" t="s">
        <v>35</v>
      </c>
      <c r="E21" s="55">
        <f>IF(ISERROR(VLOOKUP(D21,'Lista de Precio '!A:C,3,0)),"",VLOOKUP(D21,'Lista de Precio '!A:C,3,0))</f>
        <v>60</v>
      </c>
      <c r="F21" s="85">
        <v>45838</v>
      </c>
      <c r="G21" s="86">
        <v>20</v>
      </c>
      <c r="H21" s="86">
        <v>15</v>
      </c>
      <c r="I21" s="86">
        <v>10</v>
      </c>
      <c r="J21" s="87">
        <v>15</v>
      </c>
      <c r="K21" s="87"/>
      <c r="L21" s="87"/>
      <c r="M21" s="87"/>
      <c r="N21" s="93">
        <f t="shared" si="0"/>
        <v>0</v>
      </c>
      <c r="O21" s="85">
        <v>45899</v>
      </c>
      <c r="P21" s="88"/>
    </row>
    <row r="22" spans="1:16" ht="14.45" x14ac:dyDescent="0.3">
      <c r="A22">
        <v>16</v>
      </c>
      <c r="B22" s="83">
        <v>111</v>
      </c>
      <c r="C22" s="54" t="str">
        <f>IF(ISERROR(VLOOKUP(B22,CLIENTES!A:B,2,0)),"",VLOOKUP(B22,CLIENTES!A:B,2,0))</f>
        <v>Gregorio Salcedo</v>
      </c>
      <c r="D22" s="84" t="s">
        <v>21</v>
      </c>
      <c r="E22" s="55">
        <f>IF(ISERROR(VLOOKUP(D22,'Lista de Precio '!A:C,3,0)),"",VLOOKUP(D22,'Lista de Precio '!A:C,3,0))</f>
        <v>55</v>
      </c>
      <c r="F22" s="85">
        <v>45838</v>
      </c>
      <c r="G22" s="86">
        <v>40</v>
      </c>
      <c r="H22" s="86">
        <v>15</v>
      </c>
      <c r="I22" s="86"/>
      <c r="J22" s="87"/>
      <c r="K22" s="87"/>
      <c r="L22" s="87"/>
      <c r="M22" s="87"/>
      <c r="N22" s="93">
        <f t="shared" si="0"/>
        <v>0</v>
      </c>
      <c r="O22" s="85">
        <v>45899</v>
      </c>
      <c r="P22" s="88"/>
    </row>
    <row r="23" spans="1:16" ht="14.45" x14ac:dyDescent="0.3">
      <c r="A23">
        <v>17</v>
      </c>
      <c r="B23" s="83">
        <v>111</v>
      </c>
      <c r="C23" s="54" t="str">
        <f>IF(ISERROR(VLOOKUP(B23,CLIENTES!A:B,2,0)),"",VLOOKUP(B23,CLIENTES!A:B,2,0))</f>
        <v>Gregorio Salcedo</v>
      </c>
      <c r="D23" s="84" t="s">
        <v>9</v>
      </c>
      <c r="E23" s="55">
        <f>IF(ISERROR(VLOOKUP(D23,'Lista de Precio '!A:C,3,0)),"",VLOOKUP(D23,'Lista de Precio '!A:C,3,0))</f>
        <v>60</v>
      </c>
      <c r="F23" s="85">
        <v>45838</v>
      </c>
      <c r="G23" s="86">
        <v>40</v>
      </c>
      <c r="H23" s="86">
        <v>20</v>
      </c>
      <c r="I23" s="86"/>
      <c r="J23" s="87"/>
      <c r="K23" s="87"/>
      <c r="L23" s="87"/>
      <c r="M23" s="87"/>
      <c r="N23" s="93">
        <f t="shared" si="0"/>
        <v>0</v>
      </c>
      <c r="O23" s="85">
        <v>45899</v>
      </c>
      <c r="P23" s="88"/>
    </row>
    <row r="24" spans="1:16" ht="14.45" x14ac:dyDescent="0.3">
      <c r="A24">
        <v>18</v>
      </c>
      <c r="B24" s="83">
        <v>112</v>
      </c>
      <c r="C24" s="54" t="str">
        <f>IF(ISERROR(VLOOKUP(B24,CLIENTES!A:B,2,0)),"",VLOOKUP(B24,CLIENTES!A:B,2,0))</f>
        <v>Anyi Castillo</v>
      </c>
      <c r="D24" s="84" t="s">
        <v>21</v>
      </c>
      <c r="E24" s="55">
        <f>IF(ISERROR(VLOOKUP(D24,'Lista de Precio '!A:C,3,0)),"",VLOOKUP(D24,'Lista de Precio '!A:C,3,0))</f>
        <v>55</v>
      </c>
      <c r="F24" s="85">
        <v>45838</v>
      </c>
      <c r="G24" s="86">
        <v>10</v>
      </c>
      <c r="H24" s="86">
        <v>10</v>
      </c>
      <c r="I24" s="86">
        <v>20</v>
      </c>
      <c r="J24" s="87">
        <v>15</v>
      </c>
      <c r="K24" s="87"/>
      <c r="L24" s="87"/>
      <c r="M24" s="87"/>
      <c r="N24" s="93">
        <f t="shared" si="0"/>
        <v>0</v>
      </c>
      <c r="O24" s="85">
        <v>45899</v>
      </c>
      <c r="P24" s="88"/>
    </row>
    <row r="25" spans="1:16" ht="14.45" x14ac:dyDescent="0.3">
      <c r="A25">
        <v>20</v>
      </c>
      <c r="B25" s="83">
        <v>114</v>
      </c>
      <c r="C25" s="54" t="str">
        <f>IF(ISERROR(VLOOKUP(B25,CLIENTES!A:B,2,0)),"",VLOOKUP(B25,CLIENTES!A:B,2,0))</f>
        <v>Rosangela Medina</v>
      </c>
      <c r="D25" s="84" t="s">
        <v>17</v>
      </c>
      <c r="E25" s="55">
        <f>IF(ISERROR(VLOOKUP(D25,'Lista de Precio '!A:C,3,0)),"",VLOOKUP(D25,'Lista de Precio '!A:C,3,0))</f>
        <v>65</v>
      </c>
      <c r="F25" s="85">
        <v>45838</v>
      </c>
      <c r="G25" s="86">
        <v>15</v>
      </c>
      <c r="H25" s="86">
        <v>15</v>
      </c>
      <c r="I25" s="86">
        <v>15</v>
      </c>
      <c r="J25" s="87">
        <v>10</v>
      </c>
      <c r="K25" s="87">
        <v>10</v>
      </c>
      <c r="L25" s="87"/>
      <c r="M25" s="87"/>
      <c r="N25" s="93">
        <f t="shared" si="0"/>
        <v>0</v>
      </c>
      <c r="O25" s="40">
        <v>45838</v>
      </c>
      <c r="P25" s="49"/>
    </row>
    <row r="26" spans="1:16" ht="14.45" x14ac:dyDescent="0.3">
      <c r="A26">
        <v>21</v>
      </c>
      <c r="B26" s="83">
        <v>115</v>
      </c>
      <c r="C26" s="54" t="str">
        <f>IF(ISERROR(VLOOKUP(B26,CLIENTES!A:B,2,0)),"",VLOOKUP(B26,CLIENTES!A:B,2,0))</f>
        <v>Yuli R</v>
      </c>
      <c r="D26" s="84" t="s">
        <v>47</v>
      </c>
      <c r="E26" s="55">
        <f>IF(ISERROR(VLOOKUP(D26,'Lista de Precio '!A:C,3,0)),"",VLOOKUP(D26,'Lista de Precio '!A:C,3,0))</f>
        <v>50</v>
      </c>
      <c r="F26" s="85">
        <v>45838</v>
      </c>
      <c r="G26" s="86">
        <v>20</v>
      </c>
      <c r="H26" s="86">
        <v>20</v>
      </c>
      <c r="I26" s="86">
        <v>20</v>
      </c>
      <c r="J26" s="87"/>
      <c r="K26" s="87"/>
      <c r="L26" s="87"/>
      <c r="M26" s="87"/>
      <c r="N26" s="93">
        <f t="shared" si="0"/>
        <v>-10</v>
      </c>
      <c r="O26" s="85">
        <v>45838</v>
      </c>
      <c r="P26" s="88"/>
    </row>
    <row r="27" spans="1:16" ht="14.45" x14ac:dyDescent="0.3">
      <c r="A27">
        <v>22</v>
      </c>
      <c r="B27" s="83">
        <v>116</v>
      </c>
      <c r="C27" s="54" t="str">
        <f>IF(ISERROR(VLOOKUP(B27,CLIENTES!A:B,2,0)),"",VLOOKUP(B27,CLIENTES!A:B,2,0))</f>
        <v>Neuris</v>
      </c>
      <c r="D27" s="84" t="s">
        <v>32</v>
      </c>
      <c r="E27" s="55">
        <f>IF(ISERROR(VLOOKUP(D27,'Lista de Precio '!A:C,3,0)),"",VLOOKUP(D27,'Lista de Precio '!A:C,3,0))</f>
        <v>45</v>
      </c>
      <c r="F27" s="85">
        <v>45838</v>
      </c>
      <c r="G27" s="86">
        <v>20</v>
      </c>
      <c r="H27" s="86">
        <v>20</v>
      </c>
      <c r="I27" s="86">
        <v>5</v>
      </c>
      <c r="J27" s="87"/>
      <c r="K27" s="87"/>
      <c r="L27" s="87"/>
      <c r="M27" s="87"/>
      <c r="N27" s="93">
        <f t="shared" si="0"/>
        <v>0</v>
      </c>
      <c r="O27" s="85">
        <v>45899</v>
      </c>
      <c r="P27" s="88"/>
    </row>
    <row r="28" spans="1:16" ht="14.45" x14ac:dyDescent="0.3">
      <c r="A28">
        <v>24</v>
      </c>
      <c r="B28" s="83">
        <v>118</v>
      </c>
      <c r="C28" s="54" t="str">
        <f>IF(ISERROR(VLOOKUP(B28,CLIENTES!A:B,2,0)),"",VLOOKUP(B28,CLIENTES!A:B,2,0))</f>
        <v xml:space="preserve">Wilson Gonzales </v>
      </c>
      <c r="D28" s="84" t="s">
        <v>36</v>
      </c>
      <c r="E28" s="55">
        <f>IF(ISERROR(VLOOKUP(D28,'Lista de Precio '!A:C,3,0)),"",VLOOKUP(D28,'Lista de Precio '!A:C,3,0))</f>
        <v>40</v>
      </c>
      <c r="F28" s="85">
        <v>45838</v>
      </c>
      <c r="G28" s="86">
        <v>15</v>
      </c>
      <c r="H28" s="86">
        <v>25</v>
      </c>
      <c r="I28" s="86"/>
      <c r="J28" s="87"/>
      <c r="K28" s="87"/>
      <c r="L28" s="87"/>
      <c r="M28" s="87"/>
      <c r="N28" s="93">
        <f t="shared" si="0"/>
        <v>0</v>
      </c>
      <c r="O28" s="85">
        <v>45899</v>
      </c>
      <c r="P28" s="49"/>
    </row>
    <row r="29" spans="1:16" ht="14.45" x14ac:dyDescent="0.3">
      <c r="A29">
        <v>25</v>
      </c>
      <c r="B29" s="83">
        <v>119</v>
      </c>
      <c r="C29" s="54" t="str">
        <f>IF(ISERROR(VLOOKUP(B29,CLIENTES!A:B,2,0)),"",VLOOKUP(B29,CLIENTES!A:B,2,0))</f>
        <v>Hector Hidromaticos</v>
      </c>
      <c r="D29" s="84" t="s">
        <v>54</v>
      </c>
      <c r="E29" s="55">
        <f>IF(ISERROR(VLOOKUP(D29,'Lista de Precio '!A:C,3,0)),"",VLOOKUP(D29,'Lista de Precio '!A:C,3,0))</f>
        <v>60</v>
      </c>
      <c r="F29" s="85">
        <v>45838</v>
      </c>
      <c r="G29" s="86">
        <v>40</v>
      </c>
      <c r="H29" s="86">
        <v>20</v>
      </c>
      <c r="I29" s="86"/>
      <c r="J29" s="87"/>
      <c r="K29" s="87"/>
      <c r="L29" s="87"/>
      <c r="M29" s="87"/>
      <c r="N29" s="93">
        <f t="shared" si="0"/>
        <v>0</v>
      </c>
      <c r="O29" s="85">
        <v>45899</v>
      </c>
      <c r="P29" s="88" t="s">
        <v>177</v>
      </c>
    </row>
    <row r="30" spans="1:16" ht="14.45" x14ac:dyDescent="0.3">
      <c r="A30">
        <v>26</v>
      </c>
      <c r="B30" s="83">
        <v>119</v>
      </c>
      <c r="C30" s="54" t="str">
        <f>IF(ISERROR(VLOOKUP(B30,CLIENTES!A:B,2,0)),"",VLOOKUP(B30,CLIENTES!A:B,2,0))</f>
        <v>Hector Hidromaticos</v>
      </c>
      <c r="D30" s="84" t="s">
        <v>32</v>
      </c>
      <c r="E30" s="55">
        <f>IF(ISERROR(VLOOKUP(D30,'Lista de Precio '!A:C,3,0)),"",VLOOKUP(D30,'Lista de Precio '!A:C,3,0))</f>
        <v>45</v>
      </c>
      <c r="F30" s="85">
        <v>45838</v>
      </c>
      <c r="G30" s="86">
        <v>20</v>
      </c>
      <c r="H30" s="86">
        <v>20</v>
      </c>
      <c r="I30" s="86">
        <v>5</v>
      </c>
      <c r="J30" s="87"/>
      <c r="K30" s="87"/>
      <c r="L30" s="87"/>
      <c r="M30" s="87"/>
      <c r="N30" s="93">
        <f t="shared" si="0"/>
        <v>0</v>
      </c>
      <c r="O30" s="85">
        <v>45899</v>
      </c>
      <c r="P30" s="88" t="s">
        <v>197</v>
      </c>
    </row>
    <row r="31" spans="1:16" ht="14.45" x14ac:dyDescent="0.3">
      <c r="A31">
        <v>27</v>
      </c>
      <c r="B31" s="133">
        <v>120</v>
      </c>
      <c r="C31" s="134" t="str">
        <f>IF(ISERROR(VLOOKUP(B31,CLIENTES!A:B,2,0)),"",VLOOKUP(B31,CLIENTES!A:B,2,0))</f>
        <v>Junior Hidromaticos</v>
      </c>
      <c r="D31" s="135" t="s">
        <v>23</v>
      </c>
      <c r="E31" s="136">
        <f>IF(ISERROR(VLOOKUP(D31,'Lista de Precio '!A:C,3,0)),"",VLOOKUP(D31,'Lista de Precio '!A:C,3,0))</f>
        <v>55</v>
      </c>
      <c r="F31" s="137">
        <v>45838</v>
      </c>
      <c r="G31" s="138">
        <v>25</v>
      </c>
      <c r="H31" s="138">
        <v>20</v>
      </c>
      <c r="I31" s="138">
        <v>5</v>
      </c>
      <c r="J31" s="139"/>
      <c r="K31" s="139"/>
      <c r="L31" s="139"/>
      <c r="M31" s="139"/>
      <c r="N31" s="140">
        <f t="shared" si="0"/>
        <v>5</v>
      </c>
      <c r="O31" s="137">
        <v>45899</v>
      </c>
      <c r="P31" s="141">
        <v>5</v>
      </c>
    </row>
    <row r="32" spans="1:16" ht="14.45" x14ac:dyDescent="0.3">
      <c r="A32">
        <v>28</v>
      </c>
      <c r="B32" s="142">
        <v>120</v>
      </c>
      <c r="C32" s="143" t="str">
        <f>IF(ISERROR(VLOOKUP(B32,CLIENTES!A:B,2,0)),"",VLOOKUP(B32,CLIENTES!A:B,2,0))</f>
        <v>Junior Hidromaticos</v>
      </c>
      <c r="D32" s="144" t="s">
        <v>25</v>
      </c>
      <c r="E32" s="145">
        <f>IF(ISERROR(VLOOKUP(D32,'Lista de Precio '!A:C,3,0)),"",VLOOKUP(D32,'Lista de Precio '!A:C,3,0))</f>
        <v>65</v>
      </c>
      <c r="F32" s="146">
        <v>45838</v>
      </c>
      <c r="G32" s="147">
        <v>20</v>
      </c>
      <c r="H32" s="147">
        <v>20</v>
      </c>
      <c r="I32" s="147">
        <v>20</v>
      </c>
      <c r="J32" s="148"/>
      <c r="K32" s="148"/>
      <c r="L32" s="148"/>
      <c r="M32" s="148"/>
      <c r="N32" s="140">
        <f t="shared" si="0"/>
        <v>5</v>
      </c>
      <c r="O32" s="146">
        <v>45899</v>
      </c>
      <c r="P32" s="149"/>
    </row>
    <row r="33" spans="1:16" ht="14.45" x14ac:dyDescent="0.3">
      <c r="A33">
        <v>29</v>
      </c>
      <c r="B33" s="83">
        <v>121</v>
      </c>
      <c r="C33" s="54" t="str">
        <f>IF(ISERROR(VLOOKUP(B33,CLIENTES!A:B,2,0)),"",VLOOKUP(B33,CLIENTES!A:B,2,0))</f>
        <v>Grise Hidromaticos</v>
      </c>
      <c r="D33" s="84" t="s">
        <v>49</v>
      </c>
      <c r="E33" s="55">
        <f>IF(ISERROR(VLOOKUP(D33,'Lista de Precio '!A:C,3,0)),"",VLOOKUP(D33,'Lista de Precio '!A:C,3,0))</f>
        <v>45</v>
      </c>
      <c r="F33" s="85">
        <v>45838</v>
      </c>
      <c r="G33" s="86">
        <v>20</v>
      </c>
      <c r="H33" s="86">
        <v>20</v>
      </c>
      <c r="I33" s="86"/>
      <c r="J33" s="87"/>
      <c r="K33" s="87"/>
      <c r="L33" s="87"/>
      <c r="M33" s="87"/>
      <c r="N33" s="93">
        <f t="shared" si="0"/>
        <v>5</v>
      </c>
      <c r="O33" s="85">
        <v>45899</v>
      </c>
      <c r="P33" s="88"/>
    </row>
    <row r="34" spans="1:16" ht="14.45" x14ac:dyDescent="0.3">
      <c r="A34">
        <v>30</v>
      </c>
      <c r="B34" s="83">
        <v>122</v>
      </c>
      <c r="C34" s="54" t="str">
        <f>IF(ISERROR(VLOOKUP(B34,CLIENTES!A:B,2,0)),"",VLOOKUP(B34,CLIENTES!A:B,2,0))</f>
        <v>Yeni Peña</v>
      </c>
      <c r="D34" s="84" t="s">
        <v>13</v>
      </c>
      <c r="E34" s="55">
        <f>IF(ISERROR(VLOOKUP(D34,'Lista de Precio '!A:C,3,0)),"",VLOOKUP(D34,'Lista de Precio '!A:C,3,0))</f>
        <v>85</v>
      </c>
      <c r="F34" s="85">
        <v>45838</v>
      </c>
      <c r="G34" s="86">
        <v>30</v>
      </c>
      <c r="H34" s="86">
        <v>25</v>
      </c>
      <c r="I34" s="86">
        <v>25</v>
      </c>
      <c r="J34" s="87">
        <v>5</v>
      </c>
      <c r="K34" s="87"/>
      <c r="L34" s="87"/>
      <c r="M34" s="87"/>
      <c r="N34" s="93">
        <f t="shared" si="0"/>
        <v>0</v>
      </c>
      <c r="O34" s="85">
        <v>45899</v>
      </c>
      <c r="P34" s="49"/>
    </row>
    <row r="35" spans="1:16" ht="14.45" x14ac:dyDescent="0.3">
      <c r="A35">
        <v>31</v>
      </c>
      <c r="B35" s="83">
        <v>122</v>
      </c>
      <c r="C35" s="54" t="str">
        <f>IF(ISERROR(VLOOKUP(B35,CLIENTES!A:B,2,0)),"",VLOOKUP(B35,CLIENTES!A:B,2,0))</f>
        <v>Yeni Peña</v>
      </c>
      <c r="D35" s="84" t="s">
        <v>11</v>
      </c>
      <c r="E35" s="55">
        <f>IF(ISERROR(VLOOKUP(D35,'Lista de Precio '!A:C,3,0)),"",VLOOKUP(D35,'Lista de Precio '!A:C,3,0))</f>
        <v>73</v>
      </c>
      <c r="F35" s="85">
        <v>45838</v>
      </c>
      <c r="G35" s="86">
        <v>25</v>
      </c>
      <c r="H35" s="86">
        <v>20</v>
      </c>
      <c r="I35" s="86">
        <v>28</v>
      </c>
      <c r="J35" s="87"/>
      <c r="K35" s="87"/>
      <c r="L35" s="87"/>
      <c r="M35" s="87"/>
      <c r="N35" s="93">
        <f t="shared" si="0"/>
        <v>0</v>
      </c>
      <c r="O35" s="85">
        <v>45899</v>
      </c>
      <c r="P35" s="50"/>
    </row>
    <row r="36" spans="1:16" ht="14.45" x14ac:dyDescent="0.3">
      <c r="A36">
        <v>32</v>
      </c>
      <c r="B36" s="83">
        <v>123</v>
      </c>
      <c r="C36" s="54" t="str">
        <f>IF(ISERROR(VLOOKUP(B36,CLIENTES!A:B,2,0)),"",VLOOKUP(B36,CLIENTES!A:B,2,0))</f>
        <v>Kristel Kowaski</v>
      </c>
      <c r="D36" s="84" t="s">
        <v>37</v>
      </c>
      <c r="E36" s="55">
        <f>IF(ISERROR(VLOOKUP(D36,'Lista de Precio '!A:C,3,0)),"",VLOOKUP(D36,'Lista de Precio '!A:C,3,0))</f>
        <v>40</v>
      </c>
      <c r="F36" s="85">
        <v>45839</v>
      </c>
      <c r="G36" s="86">
        <v>15</v>
      </c>
      <c r="H36" s="86">
        <v>10</v>
      </c>
      <c r="I36" s="86">
        <v>10</v>
      </c>
      <c r="J36" s="87">
        <v>5</v>
      </c>
      <c r="K36" s="87"/>
      <c r="L36" s="87"/>
      <c r="M36" s="87"/>
      <c r="N36" s="93">
        <f t="shared" si="0"/>
        <v>0</v>
      </c>
      <c r="O36" s="85">
        <v>45901</v>
      </c>
      <c r="P36" s="88"/>
    </row>
    <row r="37" spans="1:16" x14ac:dyDescent="0.25">
      <c r="A37">
        <v>33</v>
      </c>
      <c r="B37" s="83">
        <v>124</v>
      </c>
      <c r="C37" s="54" t="str">
        <f>IF(ISERROR(VLOOKUP(B37,CLIENTES!A:B,2,0)),"",VLOOKUP(B37,CLIENTES!A:B,2,0))</f>
        <v>Edgar Oati</v>
      </c>
      <c r="D37" s="84" t="s">
        <v>14</v>
      </c>
      <c r="E37" s="55">
        <f>IF(ISERROR(VLOOKUP(D37,'Lista de Precio '!A:C,3,0)),"",VLOOKUP(D37,'Lista de Precio '!A:C,3,0))</f>
        <v>40</v>
      </c>
      <c r="F37" s="85">
        <v>45839</v>
      </c>
      <c r="G37" s="86">
        <v>20</v>
      </c>
      <c r="H37" s="86">
        <v>20</v>
      </c>
      <c r="I37" s="86"/>
      <c r="J37" s="87"/>
      <c r="K37" s="87"/>
      <c r="L37" s="87"/>
      <c r="M37" s="87"/>
      <c r="N37" s="53">
        <f t="shared" si="0"/>
        <v>0</v>
      </c>
      <c r="O37" s="85">
        <v>45901</v>
      </c>
      <c r="P37" s="88"/>
    </row>
    <row r="38" spans="1:16" ht="14.45" x14ac:dyDescent="0.3">
      <c r="A38">
        <v>34</v>
      </c>
      <c r="B38" s="83">
        <v>125</v>
      </c>
      <c r="C38" s="54" t="str">
        <f>IF(ISERROR(VLOOKUP(B38,CLIENTES!A:B,2,0)),"",VLOOKUP(B38,CLIENTES!A:B,2,0))</f>
        <v>Yerika Angulo</v>
      </c>
      <c r="D38" s="84" t="s">
        <v>50</v>
      </c>
      <c r="E38" s="55">
        <f>IF(ISERROR(VLOOKUP(D38,'Lista de Precio '!A:C,3,0)),"",VLOOKUP(D38,'Lista de Precio '!A:C,3,0))</f>
        <v>45</v>
      </c>
      <c r="F38" s="85">
        <v>45839</v>
      </c>
      <c r="G38" s="86">
        <v>10</v>
      </c>
      <c r="H38" s="86">
        <v>10</v>
      </c>
      <c r="I38" s="86">
        <v>10</v>
      </c>
      <c r="J38" s="87">
        <v>10</v>
      </c>
      <c r="K38" s="87"/>
      <c r="L38" s="87"/>
      <c r="M38" s="87"/>
      <c r="N38" s="93">
        <f t="shared" si="0"/>
        <v>5</v>
      </c>
      <c r="O38" s="85">
        <v>45839</v>
      </c>
      <c r="P38" s="88"/>
    </row>
    <row r="39" spans="1:16" ht="14.45" x14ac:dyDescent="0.3">
      <c r="A39">
        <v>35</v>
      </c>
      <c r="B39" s="83">
        <v>126</v>
      </c>
      <c r="C39" s="54" t="str">
        <f>IF(ISERROR(VLOOKUP(B39,CLIENTES!A:B,2,0)),"",VLOOKUP(B39,CLIENTES!A:B,2,0))</f>
        <v>Paola Gomez</v>
      </c>
      <c r="D39" s="84" t="s">
        <v>30</v>
      </c>
      <c r="E39" s="55">
        <f>IF(ISERROR(VLOOKUP(D39,'Lista de Precio '!A:C,3,0)),"",VLOOKUP(D39,'Lista de Precio '!A:C,3,0))</f>
        <v>45</v>
      </c>
      <c r="F39" s="85">
        <v>45839</v>
      </c>
      <c r="G39" s="86">
        <v>10</v>
      </c>
      <c r="H39" s="86">
        <v>20</v>
      </c>
      <c r="I39" s="86">
        <v>15</v>
      </c>
      <c r="J39" s="87"/>
      <c r="K39" s="87"/>
      <c r="L39" s="87"/>
      <c r="M39" s="87"/>
      <c r="N39" s="93">
        <f t="shared" si="0"/>
        <v>0</v>
      </c>
      <c r="O39" s="85">
        <v>45839</v>
      </c>
      <c r="P39" s="88"/>
    </row>
    <row r="40" spans="1:16" ht="14.45" x14ac:dyDescent="0.3">
      <c r="A40">
        <v>36</v>
      </c>
      <c r="B40" s="65">
        <v>127</v>
      </c>
      <c r="C40" s="66" t="str">
        <f>IF(ISERROR(VLOOKUP(B40,CLIENTES!A:B,2,0)),"",VLOOKUP(B40,CLIENTES!A:B,2,0))</f>
        <v>Arma Neliz</v>
      </c>
      <c r="D40" s="67" t="s">
        <v>30</v>
      </c>
      <c r="E40" s="68">
        <f>IF(ISERROR(VLOOKUP(D40,'Lista de Precio '!A:C,3,0)),"",VLOOKUP(D40,'Lista de Precio '!A:C,3,0))</f>
        <v>45</v>
      </c>
      <c r="F40" s="69">
        <v>45839</v>
      </c>
      <c r="G40" s="70"/>
      <c r="H40" s="70"/>
      <c r="I40" s="70"/>
      <c r="J40" s="71"/>
      <c r="K40" s="71"/>
      <c r="L40" s="71"/>
      <c r="M40" s="71"/>
      <c r="N40" s="53">
        <f t="shared" si="0"/>
        <v>45</v>
      </c>
      <c r="O40" s="69">
        <v>45901</v>
      </c>
      <c r="P40" s="72"/>
    </row>
    <row r="41" spans="1:16" ht="14.45" x14ac:dyDescent="0.3">
      <c r="A41">
        <v>37</v>
      </c>
      <c r="B41" s="37">
        <v>128</v>
      </c>
      <c r="C41" s="20" t="str">
        <f>IF(ISERROR(VLOOKUP(B41,CLIENTES!A:B,2,0)),"",VLOOKUP(B41,CLIENTES!A:B,2,0))</f>
        <v>Ciribeth Guerrero</v>
      </c>
      <c r="D41" s="39" t="s">
        <v>41</v>
      </c>
      <c r="E41" s="21">
        <f>IF(ISERROR(VLOOKUP(D41,'Lista de Precio '!A:C,3,0)),"",VLOOKUP(D41,'Lista de Precio '!A:C,3,0))</f>
        <v>55</v>
      </c>
      <c r="F41" s="40">
        <v>45839</v>
      </c>
      <c r="G41" s="41"/>
      <c r="H41" s="41"/>
      <c r="I41" s="41"/>
      <c r="J41" s="42"/>
      <c r="K41" s="42"/>
      <c r="L41" s="42"/>
      <c r="M41" s="42"/>
      <c r="N41" s="53">
        <f t="shared" si="0"/>
        <v>55</v>
      </c>
      <c r="O41" s="40">
        <v>45901</v>
      </c>
      <c r="P41" s="49"/>
    </row>
    <row r="42" spans="1:16" ht="14.45" x14ac:dyDescent="0.3">
      <c r="A42">
        <v>38</v>
      </c>
      <c r="B42" s="38">
        <v>128</v>
      </c>
      <c r="C42" s="43" t="str">
        <f>IF(ISERROR(VLOOKUP(B42,CLIENTES!A:B,2,0)),"",VLOOKUP(B42,CLIENTES!A:B,2,0))</f>
        <v>Ciribeth Guerrero</v>
      </c>
      <c r="D42" s="44" t="s">
        <v>134</v>
      </c>
      <c r="E42" s="45">
        <f>IF(ISERROR(VLOOKUP(D42,'Lista de Precio '!A:C,3,0)),"",VLOOKUP(D42,'Lista de Precio '!A:C,3,0))</f>
        <v>55</v>
      </c>
      <c r="F42" s="46">
        <v>45839</v>
      </c>
      <c r="G42" s="47">
        <v>20</v>
      </c>
      <c r="H42" s="47">
        <v>20</v>
      </c>
      <c r="I42" s="47"/>
      <c r="J42" s="48"/>
      <c r="K42" s="48"/>
      <c r="L42" s="48"/>
      <c r="M42" s="48"/>
      <c r="N42" s="53">
        <f t="shared" si="0"/>
        <v>15</v>
      </c>
      <c r="O42" s="46">
        <v>45901</v>
      </c>
      <c r="P42" s="50" t="s">
        <v>160</v>
      </c>
    </row>
    <row r="43" spans="1:16" ht="14.45" x14ac:dyDescent="0.3">
      <c r="A43">
        <v>39</v>
      </c>
      <c r="B43" s="83">
        <v>102</v>
      </c>
      <c r="C43" s="54" t="str">
        <f>IF(ISERROR(VLOOKUP(B43,CLIENTES!A:B,2,0)),"",VLOOKUP(B43,CLIENTES!A:B,2,0))</f>
        <v>Genesis Torres</v>
      </c>
      <c r="D43" s="84" t="s">
        <v>37</v>
      </c>
      <c r="E43" s="55">
        <f>IF(ISERROR(VLOOKUP(D43,'Lista de Precio '!A:C,3,0)),"",VLOOKUP(D43,'Lista de Precio '!A:C,3,0))</f>
        <v>40</v>
      </c>
      <c r="F43" s="85">
        <v>45839</v>
      </c>
      <c r="G43" s="86">
        <v>20</v>
      </c>
      <c r="H43" s="86">
        <v>20</v>
      </c>
      <c r="I43" s="86"/>
      <c r="J43" s="87"/>
      <c r="K43" s="87"/>
      <c r="L43" s="87"/>
      <c r="M43" s="87"/>
      <c r="N43" s="93">
        <f t="shared" si="0"/>
        <v>0</v>
      </c>
      <c r="O43" s="85">
        <v>45901</v>
      </c>
      <c r="P43" s="88"/>
    </row>
    <row r="44" spans="1:16" x14ac:dyDescent="0.25">
      <c r="A44">
        <v>40</v>
      </c>
      <c r="B44" s="83">
        <v>129</v>
      </c>
      <c r="C44" s="89" t="str">
        <f>IF(ISERROR(VLOOKUP(B44,CLIENTES!A:B,2,0)),"",VLOOKUP(B44,CLIENTES!A:B,2,0))</f>
        <v>Reinaldo Davila</v>
      </c>
      <c r="D44" s="84" t="s">
        <v>10</v>
      </c>
      <c r="E44" s="55">
        <f>IF(ISERROR(VLOOKUP(D44,'Lista de Precio '!A:C,3,0)),"",VLOOKUP(D44,'Lista de Precio '!A:C,3,0))</f>
        <v>65</v>
      </c>
      <c r="F44" s="85">
        <v>45839</v>
      </c>
      <c r="G44" s="86">
        <v>10</v>
      </c>
      <c r="H44" s="86">
        <v>15</v>
      </c>
      <c r="I44" s="86">
        <v>10</v>
      </c>
      <c r="J44" s="87">
        <v>20</v>
      </c>
      <c r="K44" s="87">
        <v>10</v>
      </c>
      <c r="L44" s="87"/>
      <c r="M44" s="87"/>
      <c r="N44" s="93">
        <f t="shared" si="0"/>
        <v>0</v>
      </c>
      <c r="O44" s="85">
        <v>45901</v>
      </c>
      <c r="P44" s="88"/>
    </row>
    <row r="45" spans="1:16" ht="14.45" x14ac:dyDescent="0.3">
      <c r="A45">
        <v>41</v>
      </c>
      <c r="B45" s="83">
        <v>130</v>
      </c>
      <c r="C45" s="54" t="str">
        <f>IF(ISERROR(VLOOKUP(B45,CLIENTES!A:B,2,0)),"",VLOOKUP(B45,CLIENTES!A:B,2,0))</f>
        <v>Maria de los Angueles Peña</v>
      </c>
      <c r="D45" s="84" t="s">
        <v>34</v>
      </c>
      <c r="E45" s="55">
        <f>IF(ISERROR(VLOOKUP(D45,'Lista de Precio '!A:C,3,0)),"",VLOOKUP(D45,'Lista de Precio '!A:C,3,0))</f>
        <v>65</v>
      </c>
      <c r="F45" s="85">
        <v>45839</v>
      </c>
      <c r="G45" s="86">
        <v>30</v>
      </c>
      <c r="H45" s="86">
        <v>20</v>
      </c>
      <c r="I45" s="86">
        <v>15</v>
      </c>
      <c r="J45" s="87"/>
      <c r="K45" s="87"/>
      <c r="L45" s="87"/>
      <c r="M45" s="87"/>
      <c r="N45" s="93">
        <f t="shared" si="0"/>
        <v>0</v>
      </c>
      <c r="O45" s="85">
        <v>45901</v>
      </c>
      <c r="P45" s="88"/>
    </row>
    <row r="46" spans="1:16" ht="14.45" x14ac:dyDescent="0.3">
      <c r="A46">
        <v>42</v>
      </c>
      <c r="B46" s="83">
        <v>131</v>
      </c>
      <c r="C46" s="54" t="str">
        <f>IF(ISERROR(VLOOKUP(B46,CLIENTES!A:B,2,0)),"",VLOOKUP(B46,CLIENTES!A:B,2,0))</f>
        <v>Michell Mendez</v>
      </c>
      <c r="D46" s="84" t="s">
        <v>41</v>
      </c>
      <c r="E46" s="55">
        <f>IF(ISERROR(VLOOKUP(D46,'Lista de Precio '!A:C,3,0)),"",VLOOKUP(D46,'Lista de Precio '!A:C,3,0))</f>
        <v>55</v>
      </c>
      <c r="F46" s="85">
        <v>45839</v>
      </c>
      <c r="G46" s="86">
        <v>20</v>
      </c>
      <c r="H46" s="86">
        <v>20</v>
      </c>
      <c r="I46" s="86">
        <v>15</v>
      </c>
      <c r="J46" s="87"/>
      <c r="K46" s="87"/>
      <c r="L46" s="87"/>
      <c r="M46" s="87"/>
      <c r="N46" s="93">
        <f t="shared" si="0"/>
        <v>0</v>
      </c>
      <c r="O46" s="85">
        <v>45901</v>
      </c>
      <c r="P46" s="88"/>
    </row>
    <row r="47" spans="1:16" ht="14.45" x14ac:dyDescent="0.3">
      <c r="A47">
        <v>43</v>
      </c>
      <c r="B47" s="83">
        <v>132</v>
      </c>
      <c r="C47" s="54" t="str">
        <f>IF(ISERROR(VLOOKUP(B47,CLIENTES!A:B,2,0)),"",VLOOKUP(B47,CLIENTES!A:B,2,0))</f>
        <v>Cesar Chourio</v>
      </c>
      <c r="D47" s="84" t="s">
        <v>25</v>
      </c>
      <c r="E47" s="55">
        <f>IF(ISERROR(VLOOKUP(D47,'Lista de Precio '!A:C,3,0)),"",VLOOKUP(D47,'Lista de Precio '!A:C,3,0))</f>
        <v>65</v>
      </c>
      <c r="F47" s="85">
        <v>45839</v>
      </c>
      <c r="G47" s="86"/>
      <c r="H47" s="86"/>
      <c r="I47" s="86"/>
      <c r="J47" s="87"/>
      <c r="K47" s="87"/>
      <c r="L47" s="87"/>
      <c r="M47" s="87"/>
      <c r="N47" s="93">
        <f t="shared" si="0"/>
        <v>65</v>
      </c>
      <c r="O47" s="85">
        <v>45901</v>
      </c>
      <c r="P47" s="88"/>
    </row>
    <row r="48" spans="1:16" ht="14.45" x14ac:dyDescent="0.3">
      <c r="A48">
        <v>44</v>
      </c>
      <c r="B48" s="83">
        <v>133</v>
      </c>
      <c r="C48" s="54" t="str">
        <f>IF(ISERROR(VLOOKUP(B48,CLIENTES!A:B,2,0)),"",VLOOKUP(B48,CLIENTES!A:B,2,0))</f>
        <v>Moraima Dar</v>
      </c>
      <c r="D48" s="84" t="s">
        <v>45</v>
      </c>
      <c r="E48" s="55">
        <f>IF(ISERROR(VLOOKUP(D48,'Lista de Precio '!A:C,3,0)),"",VLOOKUP(D48,'Lista de Precio '!A:C,3,0))</f>
        <v>50</v>
      </c>
      <c r="F48" s="85">
        <v>45839</v>
      </c>
      <c r="G48" s="86">
        <v>10</v>
      </c>
      <c r="H48" s="86">
        <v>10</v>
      </c>
      <c r="I48" s="86">
        <v>10</v>
      </c>
      <c r="J48" s="87">
        <v>5</v>
      </c>
      <c r="K48" s="87">
        <v>15</v>
      </c>
      <c r="L48" s="87"/>
      <c r="M48" s="87"/>
      <c r="N48" s="93">
        <f t="shared" si="0"/>
        <v>0</v>
      </c>
      <c r="O48" s="85">
        <v>45901</v>
      </c>
      <c r="P48" s="88"/>
    </row>
    <row r="49" spans="1:16" ht="14.45" x14ac:dyDescent="0.3">
      <c r="A49">
        <v>45</v>
      </c>
      <c r="B49" s="73">
        <v>132</v>
      </c>
      <c r="C49" s="74" t="str">
        <f>IF(ISERROR(VLOOKUP(B49,CLIENTES!A:B,2,0)),"",VLOOKUP(B49,CLIENTES!A:B,2,0))</f>
        <v>Cesar Chourio</v>
      </c>
      <c r="D49" s="75" t="s">
        <v>33</v>
      </c>
      <c r="E49" s="76">
        <f>IF(ISERROR(VLOOKUP(D49,'Lista de Precio '!A:C,3,0)),"",VLOOKUP(D49,'Lista de Precio '!A:C,3,0))</f>
        <v>130</v>
      </c>
      <c r="F49" s="77">
        <v>45839</v>
      </c>
      <c r="G49" s="78"/>
      <c r="H49" s="78"/>
      <c r="I49" s="78"/>
      <c r="J49" s="79"/>
      <c r="K49" s="79"/>
      <c r="L49" s="79"/>
      <c r="M49" s="79"/>
      <c r="N49" s="53">
        <f t="shared" si="0"/>
        <v>130</v>
      </c>
      <c r="O49" s="77"/>
      <c r="P49" s="80"/>
    </row>
    <row r="50" spans="1:16" ht="14.45" x14ac:dyDescent="0.3">
      <c r="A50">
        <v>46</v>
      </c>
      <c r="B50" s="65">
        <v>132</v>
      </c>
      <c r="C50" s="66" t="str">
        <f>IF(ISERROR(VLOOKUP(B50,CLIENTES!A:B,2,0)),"",VLOOKUP(B50,CLIENTES!A:B,2,0))</f>
        <v>Cesar Chourio</v>
      </c>
      <c r="D50" s="67" t="s">
        <v>39</v>
      </c>
      <c r="E50" s="68">
        <f>IF(ISERROR(VLOOKUP(D50,'Lista de Precio '!A:C,3,0)),"",VLOOKUP(D50,'Lista de Precio '!A:C,3,0))</f>
        <v>30</v>
      </c>
      <c r="F50" s="69"/>
      <c r="G50" s="70"/>
      <c r="H50" s="70"/>
      <c r="I50" s="70"/>
      <c r="J50" s="71"/>
      <c r="K50" s="71"/>
      <c r="L50" s="71"/>
      <c r="M50" s="71"/>
      <c r="N50" s="53">
        <f t="shared" si="0"/>
        <v>30</v>
      </c>
      <c r="O50" s="69"/>
      <c r="P50" s="72"/>
    </row>
    <row r="51" spans="1:16" ht="14.45" x14ac:dyDescent="0.3">
      <c r="A51">
        <v>47</v>
      </c>
      <c r="B51" s="73">
        <v>132</v>
      </c>
      <c r="C51" s="74" t="str">
        <f>IF(ISERROR(VLOOKUP(B51,CLIENTES!A:B,2,0)),"",VLOOKUP(B51,CLIENTES!A:B,2,0))</f>
        <v>Cesar Chourio</v>
      </c>
      <c r="D51" s="75" t="s">
        <v>40</v>
      </c>
      <c r="E51" s="76">
        <f>IF(ISERROR(VLOOKUP(D51,'Lista de Precio '!A:C,3,0)),"",VLOOKUP(D51,'Lista de Precio '!A:C,3,0))</f>
        <v>30</v>
      </c>
      <c r="F51" s="77"/>
      <c r="G51" s="78"/>
      <c r="H51" s="78"/>
      <c r="I51" s="78"/>
      <c r="J51" s="79"/>
      <c r="K51" s="79"/>
      <c r="L51" s="79"/>
      <c r="M51" s="79"/>
      <c r="N51" s="53">
        <f t="shared" si="0"/>
        <v>30</v>
      </c>
      <c r="O51" s="77"/>
      <c r="P51" s="80"/>
    </row>
    <row r="52" spans="1:16" ht="14.45" x14ac:dyDescent="0.3">
      <c r="A52">
        <v>49</v>
      </c>
      <c r="B52" s="83">
        <v>134</v>
      </c>
      <c r="C52" s="54" t="str">
        <f>IF(ISERROR(VLOOKUP(B52,CLIENTES!A:B,2,0)),"",VLOOKUP(B52,CLIENTES!A:B,2,0))</f>
        <v>Raquel Dar</v>
      </c>
      <c r="D52" s="84" t="s">
        <v>49</v>
      </c>
      <c r="E52" s="55">
        <f>IF(ISERROR(VLOOKUP(D52,'Lista de Precio '!A:C,3,0)),"",VLOOKUP(D52,'Lista de Precio '!A:C,3,0))</f>
        <v>45</v>
      </c>
      <c r="F52" s="85">
        <v>45840</v>
      </c>
      <c r="G52" s="86">
        <v>15</v>
      </c>
      <c r="H52" s="86">
        <v>15</v>
      </c>
      <c r="I52" s="86">
        <v>15</v>
      </c>
      <c r="J52" s="87"/>
      <c r="K52" s="87"/>
      <c r="L52" s="87"/>
      <c r="M52" s="87"/>
      <c r="N52" s="93">
        <f t="shared" si="0"/>
        <v>0</v>
      </c>
      <c r="O52" s="85">
        <v>45902</v>
      </c>
      <c r="P52" s="88"/>
    </row>
    <row r="53" spans="1:16" ht="14.45" x14ac:dyDescent="0.3">
      <c r="A53">
        <v>50</v>
      </c>
      <c r="B53" s="83">
        <v>135</v>
      </c>
      <c r="C53" s="54" t="str">
        <f>IF(ISERROR(VLOOKUP(B53,CLIENTES!A:B,2,0)),"",VLOOKUP(B53,CLIENTES!A:B,2,0))</f>
        <v xml:space="preserve">Eladio Torres </v>
      </c>
      <c r="D53" s="84" t="s">
        <v>50</v>
      </c>
      <c r="E53" s="55">
        <f>IF(ISERROR(VLOOKUP(D53,'Lista de Precio '!A:C,3,0)),"",VLOOKUP(D53,'Lista de Precio '!A:C,3,0))</f>
        <v>45</v>
      </c>
      <c r="F53" s="85">
        <v>45841</v>
      </c>
      <c r="G53" s="86">
        <v>10</v>
      </c>
      <c r="H53" s="86">
        <v>10</v>
      </c>
      <c r="I53" s="86">
        <v>10</v>
      </c>
      <c r="J53" s="87">
        <v>10</v>
      </c>
      <c r="K53" s="87">
        <v>5</v>
      </c>
      <c r="L53" s="87"/>
      <c r="M53" s="87"/>
      <c r="N53" s="93">
        <f t="shared" si="0"/>
        <v>0</v>
      </c>
      <c r="O53" s="85">
        <v>45903</v>
      </c>
      <c r="P53" s="88"/>
    </row>
    <row r="54" spans="1:16" ht="14.45" x14ac:dyDescent="0.3">
      <c r="A54">
        <v>49</v>
      </c>
      <c r="B54" s="83">
        <v>137</v>
      </c>
      <c r="C54" s="54" t="str">
        <f>IF(ISERROR(VLOOKUP(B54,CLIENTES!A:B,2,0)),"",VLOOKUP(B54,CLIENTES!A:B,2,0))</f>
        <v>Diana Ardila</v>
      </c>
      <c r="D54" s="84" t="s">
        <v>51</v>
      </c>
      <c r="E54" s="55">
        <f>IF(ISERROR(VLOOKUP(D54,'Lista de Precio '!A:C,3,0)),"",VLOOKUP(D54,'Lista de Precio '!A:C,3,0))</f>
        <v>45</v>
      </c>
      <c r="F54" s="85">
        <v>45842</v>
      </c>
      <c r="G54" s="86">
        <v>5</v>
      </c>
      <c r="H54" s="86">
        <v>20</v>
      </c>
      <c r="I54" s="86"/>
      <c r="J54" s="87"/>
      <c r="K54" s="87"/>
      <c r="L54" s="87"/>
      <c r="M54" s="87"/>
      <c r="N54" s="93">
        <f t="shared" si="0"/>
        <v>20</v>
      </c>
      <c r="O54" s="85">
        <v>45904</v>
      </c>
      <c r="P54" s="88"/>
    </row>
    <row r="55" spans="1:16" x14ac:dyDescent="0.25">
      <c r="A55">
        <v>50</v>
      </c>
      <c r="B55" s="83">
        <v>128</v>
      </c>
      <c r="C55" s="54" t="str">
        <f>IF(ISERROR(VLOOKUP(B55,CLIENTES!A:B,2,0)),"",VLOOKUP(B55,CLIENTES!A:B,2,0))</f>
        <v>Ciribeth Guerrero</v>
      </c>
      <c r="D55" s="84" t="s">
        <v>14</v>
      </c>
      <c r="E55" s="55">
        <f>IF(ISERROR(VLOOKUP(D55,'Lista de Precio '!A:C,3,0)),"",VLOOKUP(D55,'Lista de Precio '!A:C,3,0))</f>
        <v>40</v>
      </c>
      <c r="F55" s="85">
        <v>45843</v>
      </c>
      <c r="G55" s="86">
        <v>20</v>
      </c>
      <c r="H55" s="86">
        <v>20</v>
      </c>
      <c r="I55" s="86"/>
      <c r="J55" s="87"/>
      <c r="K55" s="87"/>
      <c r="L55" s="87"/>
      <c r="M55" s="87"/>
      <c r="N55" s="93">
        <f t="shared" si="0"/>
        <v>0</v>
      </c>
      <c r="O55" s="85">
        <v>45905</v>
      </c>
      <c r="P55" s="88" t="s">
        <v>155</v>
      </c>
    </row>
    <row r="56" spans="1:16" ht="14.45" x14ac:dyDescent="0.3">
      <c r="A56">
        <v>49</v>
      </c>
      <c r="B56" s="83">
        <v>128</v>
      </c>
      <c r="C56" s="54" t="str">
        <f>IF(ISERROR(VLOOKUP(B56,CLIENTES!A:B,2,0)),"",VLOOKUP(B56,CLIENTES!A:B,2,0))</f>
        <v>Ciribeth Guerrero</v>
      </c>
      <c r="D56" s="84" t="s">
        <v>24</v>
      </c>
      <c r="E56" s="55">
        <f>IF(ISERROR(VLOOKUP(D56,'Lista de Precio '!A:C,3,0)),"",VLOOKUP(D56,'Lista de Precio '!A:C,3,0))</f>
        <v>55</v>
      </c>
      <c r="F56" s="85">
        <v>45843</v>
      </c>
      <c r="G56" s="86">
        <v>20</v>
      </c>
      <c r="H56" s="86">
        <v>15</v>
      </c>
      <c r="I56" s="86">
        <v>20</v>
      </c>
      <c r="J56" s="87"/>
      <c r="K56" s="87"/>
      <c r="L56" s="87"/>
      <c r="M56" s="87"/>
      <c r="N56" s="93">
        <f t="shared" si="0"/>
        <v>0</v>
      </c>
      <c r="O56" s="85">
        <v>45905</v>
      </c>
      <c r="P56" s="88" t="s">
        <v>155</v>
      </c>
    </row>
    <row r="57" spans="1:16" ht="14.45" x14ac:dyDescent="0.3">
      <c r="A57">
        <v>50</v>
      </c>
      <c r="B57" s="83">
        <v>128</v>
      </c>
      <c r="C57" s="54" t="str">
        <f>IF(ISERROR(VLOOKUP(B57,CLIENTES!A:B,2,0)),"",VLOOKUP(B57,CLIENTES!A:B,2,0))</f>
        <v>Ciribeth Guerrero</v>
      </c>
      <c r="D57" s="84" t="s">
        <v>37</v>
      </c>
      <c r="E57" s="55">
        <f>IF(ISERROR(VLOOKUP(D57,'Lista de Precio '!A:C,3,0)),"",VLOOKUP(D57,'Lista de Precio '!A:C,3,0))</f>
        <v>40</v>
      </c>
      <c r="F57" s="85">
        <v>45843</v>
      </c>
      <c r="G57" s="86">
        <v>40</v>
      </c>
      <c r="H57" s="86">
        <v>20</v>
      </c>
      <c r="I57" s="86"/>
      <c r="J57" s="87"/>
      <c r="K57" s="87"/>
      <c r="L57" s="87"/>
      <c r="M57" s="87"/>
      <c r="N57" s="93">
        <f t="shared" si="0"/>
        <v>-20</v>
      </c>
      <c r="O57" s="85">
        <v>45905</v>
      </c>
      <c r="P57" s="88" t="s">
        <v>156</v>
      </c>
    </row>
    <row r="58" spans="1:16" ht="14.45" x14ac:dyDescent="0.3">
      <c r="A58">
        <v>49</v>
      </c>
      <c r="B58" s="83">
        <v>128</v>
      </c>
      <c r="C58" s="54" t="str">
        <f>IF(ISERROR(VLOOKUP(B58,CLIENTES!A:B,2,0)),"",VLOOKUP(B58,CLIENTES!A:B,2,0))</f>
        <v>Ciribeth Guerrero</v>
      </c>
      <c r="D58" s="84" t="s">
        <v>92</v>
      </c>
      <c r="E58" s="55">
        <f>IF(ISERROR(VLOOKUP(D58,'Lista de Precio '!A:C,3,0)),"",VLOOKUP(D58,'Lista de Precio '!A:C,3,0))</f>
        <v>50</v>
      </c>
      <c r="F58" s="85">
        <v>45843</v>
      </c>
      <c r="G58" s="86">
        <v>40</v>
      </c>
      <c r="H58" s="86">
        <v>30</v>
      </c>
      <c r="I58" s="86"/>
      <c r="J58" s="87"/>
      <c r="K58" s="87"/>
      <c r="L58" s="87"/>
      <c r="M58" s="87"/>
      <c r="N58" s="93">
        <f t="shared" si="0"/>
        <v>-20</v>
      </c>
      <c r="O58" s="85">
        <v>45905</v>
      </c>
      <c r="P58" s="88" t="s">
        <v>156</v>
      </c>
    </row>
    <row r="59" spans="1:16" x14ac:dyDescent="0.25">
      <c r="A59">
        <v>50</v>
      </c>
      <c r="B59" s="83">
        <v>128</v>
      </c>
      <c r="C59" s="54" t="str">
        <f>IF(ISERROR(VLOOKUP(B59,CLIENTES!A:B,2,0)),"",VLOOKUP(B59,CLIENTES!A:B,2,0))</f>
        <v>Ciribeth Guerrero</v>
      </c>
      <c r="D59" s="84" t="s">
        <v>18</v>
      </c>
      <c r="E59" s="55">
        <f>IF(ISERROR(VLOOKUP(D59,'Lista de Precio '!A:C,3,0)),"",VLOOKUP(D59,'Lista de Precio '!A:C,3,0))</f>
        <v>65</v>
      </c>
      <c r="F59" s="85">
        <v>45843</v>
      </c>
      <c r="G59" s="86"/>
      <c r="H59" s="86"/>
      <c r="I59" s="86"/>
      <c r="J59" s="87"/>
      <c r="K59" s="87"/>
      <c r="L59" s="87"/>
      <c r="M59" s="87"/>
      <c r="N59" s="93">
        <f t="shared" si="0"/>
        <v>65</v>
      </c>
      <c r="O59" s="85">
        <v>45905</v>
      </c>
      <c r="P59" s="88" t="s">
        <v>157</v>
      </c>
    </row>
    <row r="60" spans="1:16" ht="14.45" x14ac:dyDescent="0.3">
      <c r="A60">
        <v>49</v>
      </c>
      <c r="B60" s="83">
        <v>128</v>
      </c>
      <c r="C60" s="54" t="str">
        <f>IF(ISERROR(VLOOKUP(B60,CLIENTES!A:B,2,0)),"",VLOOKUP(B60,CLIENTES!A:B,2,0))</f>
        <v>Ciribeth Guerrero</v>
      </c>
      <c r="D60" s="84" t="s">
        <v>9</v>
      </c>
      <c r="E60" s="55">
        <f>IF(ISERROR(VLOOKUP(D60,'Lista de Precio '!A:C,3,0)),"",VLOOKUP(D60,'Lista de Precio '!A:C,3,0))</f>
        <v>60</v>
      </c>
      <c r="F60" s="85">
        <v>45843</v>
      </c>
      <c r="G60" s="86">
        <v>20</v>
      </c>
      <c r="H60" s="86">
        <v>30</v>
      </c>
      <c r="I60" s="86">
        <v>10</v>
      </c>
      <c r="J60" s="87"/>
      <c r="K60" s="87"/>
      <c r="L60" s="87"/>
      <c r="M60" s="87"/>
      <c r="N60" s="93">
        <f t="shared" si="0"/>
        <v>0</v>
      </c>
      <c r="O60" s="85">
        <v>45905</v>
      </c>
      <c r="P60" s="88" t="s">
        <v>158</v>
      </c>
    </row>
    <row r="61" spans="1:16" ht="14.45" x14ac:dyDescent="0.3">
      <c r="A61">
        <v>50</v>
      </c>
      <c r="B61" s="83">
        <v>128</v>
      </c>
      <c r="C61" s="54" t="str">
        <f>IF(ISERROR(VLOOKUP(B61,CLIENTES!A:B,2,0)),"",VLOOKUP(B61,CLIENTES!A:B,2,0))</f>
        <v>Ciribeth Guerrero</v>
      </c>
      <c r="D61" s="84" t="s">
        <v>26</v>
      </c>
      <c r="E61" s="55">
        <f>IF(ISERROR(VLOOKUP(D61,'Lista de Precio '!A:C,3,0)),"",VLOOKUP(D61,'Lista de Precio '!A:C,3,0))</f>
        <v>90</v>
      </c>
      <c r="F61" s="85">
        <v>45843</v>
      </c>
      <c r="G61" s="86">
        <v>90</v>
      </c>
      <c r="H61" s="86"/>
      <c r="I61" s="86"/>
      <c r="J61" s="87"/>
      <c r="K61" s="87"/>
      <c r="L61" s="87"/>
      <c r="M61" s="87"/>
      <c r="N61" s="93">
        <f t="shared" si="0"/>
        <v>0</v>
      </c>
      <c r="O61" s="85">
        <v>45905</v>
      </c>
      <c r="P61" s="88" t="s">
        <v>159</v>
      </c>
    </row>
    <row r="62" spans="1:16" ht="14.45" x14ac:dyDescent="0.3">
      <c r="A62">
        <v>49</v>
      </c>
      <c r="B62" s="83">
        <v>128</v>
      </c>
      <c r="C62" s="54" t="str">
        <f>IF(ISERROR(VLOOKUP(B62,CLIENTES!A:B,2,0)),"",VLOOKUP(B62,CLIENTES!A:B,2,0))</f>
        <v>Ciribeth Guerrero</v>
      </c>
      <c r="D62" s="84" t="s">
        <v>22</v>
      </c>
      <c r="E62" s="55">
        <f>IF(ISERROR(VLOOKUP(D62,'Lista de Precio '!A:C,3,0)),"",VLOOKUP(D62,'Lista de Precio '!A:C,3,0))</f>
        <v>100</v>
      </c>
      <c r="F62" s="85">
        <v>45843</v>
      </c>
      <c r="G62" s="86">
        <v>100</v>
      </c>
      <c r="H62" s="86"/>
      <c r="I62" s="86"/>
      <c r="J62" s="87"/>
      <c r="K62" s="87"/>
      <c r="L62" s="87"/>
      <c r="M62" s="87"/>
      <c r="N62" s="93">
        <f t="shared" si="0"/>
        <v>0</v>
      </c>
      <c r="O62" s="85">
        <v>45905</v>
      </c>
      <c r="P62" s="88" t="s">
        <v>159</v>
      </c>
    </row>
    <row r="63" spans="1:16" ht="14.45" x14ac:dyDescent="0.3">
      <c r="A63">
        <v>50</v>
      </c>
      <c r="B63" s="83">
        <v>128</v>
      </c>
      <c r="C63" s="54" t="str">
        <f>IF(ISERROR(VLOOKUP(B63,CLIENTES!A:B,2,0)),"",VLOOKUP(B63,CLIENTES!A:B,2,0))</f>
        <v>Ciribeth Guerrero</v>
      </c>
      <c r="D63" s="84" t="s">
        <v>161</v>
      </c>
      <c r="E63" s="55">
        <f>IF(ISERROR(VLOOKUP(D63,'Lista de Precio '!A:C,3,0)),"",VLOOKUP(D63,'Lista de Precio '!A:C,3,0))</f>
        <v>55</v>
      </c>
      <c r="F63" s="85">
        <v>45843</v>
      </c>
      <c r="G63" s="86">
        <v>20</v>
      </c>
      <c r="H63" s="86">
        <v>10</v>
      </c>
      <c r="I63" s="86">
        <v>25</v>
      </c>
      <c r="J63" s="87"/>
      <c r="K63" s="87"/>
      <c r="L63" s="87"/>
      <c r="M63" s="87"/>
      <c r="N63" s="93">
        <f t="shared" si="0"/>
        <v>0</v>
      </c>
      <c r="O63" s="85">
        <v>45905</v>
      </c>
      <c r="P63" s="88" t="s">
        <v>162</v>
      </c>
    </row>
    <row r="64" spans="1:16" ht="14.45" x14ac:dyDescent="0.3">
      <c r="A64" s="34">
        <v>57.322033898305101</v>
      </c>
      <c r="B64" s="83">
        <v>136</v>
      </c>
      <c r="C64" s="54" t="str">
        <f>IF(ISERROR(VLOOKUP(B64,CLIENTES!A:B,2,0)),"",VLOOKUP(B64,CLIENTES!A:B,2,0))</f>
        <v>Luis Rivero</v>
      </c>
      <c r="D64" s="84" t="s">
        <v>48</v>
      </c>
      <c r="E64" s="55">
        <f>IF(ISERROR(VLOOKUP(D64,'Lista de Precio '!A:C,3,0)),"",VLOOKUP(D64,'Lista de Precio '!A:C,3,0))</f>
        <v>60</v>
      </c>
      <c r="F64" s="85">
        <v>45843</v>
      </c>
      <c r="G64" s="86">
        <v>20</v>
      </c>
      <c r="H64" s="86">
        <v>20</v>
      </c>
      <c r="I64" s="86">
        <v>20</v>
      </c>
      <c r="J64" s="87"/>
      <c r="K64" s="87"/>
      <c r="L64" s="87"/>
      <c r="M64" s="87"/>
      <c r="N64" s="93">
        <f t="shared" si="0"/>
        <v>0</v>
      </c>
      <c r="O64" s="85">
        <v>45905</v>
      </c>
      <c r="P64" s="88" t="s">
        <v>337</v>
      </c>
    </row>
    <row r="65" spans="1:16" ht="14.45" x14ac:dyDescent="0.3">
      <c r="A65" s="34">
        <v>58.234231731036402</v>
      </c>
      <c r="B65" s="83">
        <v>136</v>
      </c>
      <c r="C65" s="54" t="str">
        <f>IF(ISERROR(VLOOKUP(B65,CLIENTES!A:B,2,0)),"",VLOOKUP(B65,CLIENTES!A:B,2,0))</f>
        <v>Luis Rivero</v>
      </c>
      <c r="D65" s="84" t="s">
        <v>29</v>
      </c>
      <c r="E65" s="55">
        <f>IF(ISERROR(VLOOKUP(D65,'Lista de Precio '!A:C,3,0)),"",VLOOKUP(D65,'Lista de Precio '!A:C,3,0))</f>
        <v>45</v>
      </c>
      <c r="F65" s="85">
        <v>45843</v>
      </c>
      <c r="G65" s="86">
        <v>25</v>
      </c>
      <c r="H65" s="86">
        <v>20</v>
      </c>
      <c r="I65" s="86"/>
      <c r="J65" s="87"/>
      <c r="K65" s="87"/>
      <c r="L65" s="87"/>
      <c r="M65" s="87"/>
      <c r="N65" s="93">
        <f t="shared" si="0"/>
        <v>0</v>
      </c>
      <c r="O65" s="85">
        <v>45905</v>
      </c>
      <c r="P65" s="88" t="s">
        <v>337</v>
      </c>
    </row>
    <row r="66" spans="1:16" ht="13.5" customHeight="1" x14ac:dyDescent="0.3">
      <c r="A66" s="34">
        <v>59.146429563767697</v>
      </c>
      <c r="B66" s="83">
        <v>136</v>
      </c>
      <c r="C66" s="54" t="str">
        <f>IF(ISERROR(VLOOKUP(B66,CLIENTES!A:B,2,0)),"",VLOOKUP(B66,CLIENTES!A:B,2,0))</f>
        <v>Luis Rivero</v>
      </c>
      <c r="D66" s="84" t="s">
        <v>32</v>
      </c>
      <c r="E66" s="55">
        <f>IF(ISERROR(VLOOKUP(D66,'Lista de Precio '!A:C,3,0)),"",VLOOKUP(D66,'Lista de Precio '!A:C,3,0))</f>
        <v>45</v>
      </c>
      <c r="F66" s="85">
        <v>45843</v>
      </c>
      <c r="G66" s="86">
        <v>15</v>
      </c>
      <c r="H66" s="86">
        <v>15</v>
      </c>
      <c r="I66" s="86">
        <v>15</v>
      </c>
      <c r="J66" s="87"/>
      <c r="K66" s="87"/>
      <c r="L66" s="87"/>
      <c r="M66" s="87"/>
      <c r="N66" s="93">
        <f t="shared" si="0"/>
        <v>0</v>
      </c>
      <c r="O66" s="85">
        <v>45905</v>
      </c>
      <c r="P66" s="88" t="s">
        <v>338</v>
      </c>
    </row>
    <row r="67" spans="1:16" ht="14.45" x14ac:dyDescent="0.3">
      <c r="A67" s="34">
        <v>60.058627396498999</v>
      </c>
      <c r="B67" s="125">
        <v>136</v>
      </c>
      <c r="C67" s="126" t="str">
        <f>IF(ISERROR(VLOOKUP(B67,CLIENTES!A:B,2,0)),"",VLOOKUP(B67,CLIENTES!A:B,2,0))</f>
        <v>Luis Rivero</v>
      </c>
      <c r="D67" s="125" t="s">
        <v>30</v>
      </c>
      <c r="E67" s="127">
        <f>IF(ISERROR(VLOOKUP(D67,'Lista de Precio '!A:C,3,0)),"",VLOOKUP(D67,'Lista de Precio '!A:C,3,0))</f>
        <v>45</v>
      </c>
      <c r="F67" s="128">
        <v>45843</v>
      </c>
      <c r="G67" s="129">
        <v>10</v>
      </c>
      <c r="H67" s="129">
        <v>5</v>
      </c>
      <c r="I67" s="129">
        <v>10</v>
      </c>
      <c r="J67" s="129">
        <v>15</v>
      </c>
      <c r="K67" s="129">
        <v>20</v>
      </c>
      <c r="L67" s="129">
        <v>15</v>
      </c>
      <c r="M67" s="129">
        <v>15</v>
      </c>
      <c r="N67" s="93">
        <f t="shared" si="0"/>
        <v>-45</v>
      </c>
      <c r="O67" s="85">
        <v>45905</v>
      </c>
      <c r="P67" s="88"/>
    </row>
    <row r="68" spans="1:16" ht="14.45" x14ac:dyDescent="0.3">
      <c r="A68" s="34">
        <v>60.9708252292303</v>
      </c>
      <c r="B68" s="37">
        <v>136</v>
      </c>
      <c r="C68" s="20" t="str">
        <f>IF(ISERROR(VLOOKUP(B68,CLIENTES!A:B,2,0)),"",VLOOKUP(B68,CLIENTES!A:B,2,0))</f>
        <v>Luis Rivero</v>
      </c>
      <c r="D68" s="39" t="s">
        <v>9</v>
      </c>
      <c r="E68" s="21">
        <f>IF(ISERROR(VLOOKUP(D68,'Lista de Precio '!A:C,3,0)),"",VLOOKUP(D68,'Lista de Precio '!A:C,3,0))</f>
        <v>60</v>
      </c>
      <c r="F68" s="40">
        <v>45843</v>
      </c>
      <c r="G68" s="41">
        <v>40</v>
      </c>
      <c r="H68" s="41">
        <v>10</v>
      </c>
      <c r="I68" s="41"/>
      <c r="J68" s="42"/>
      <c r="K68" s="42"/>
      <c r="L68" s="42"/>
      <c r="M68" s="42"/>
      <c r="N68" s="53">
        <f t="shared" si="0"/>
        <v>10</v>
      </c>
      <c r="O68" s="40">
        <v>45905</v>
      </c>
      <c r="P68" s="49" t="s">
        <v>339</v>
      </c>
    </row>
    <row r="69" spans="1:16" ht="14.45" x14ac:dyDescent="0.3">
      <c r="A69" s="34">
        <v>61.883023061961602</v>
      </c>
      <c r="B69" s="83">
        <v>136</v>
      </c>
      <c r="C69" s="54" t="str">
        <f>IF(ISERROR(VLOOKUP(B69,CLIENTES!A:B,2,0)),"",VLOOKUP(B69,CLIENTES!A:B,2,0))</f>
        <v>Luis Rivero</v>
      </c>
      <c r="D69" s="84" t="s">
        <v>10</v>
      </c>
      <c r="E69" s="55">
        <f>IF(ISERROR(VLOOKUP(D69,'Lista de Precio '!A:C,3,0)),"",VLOOKUP(D69,'Lista de Precio '!A:C,3,0))</f>
        <v>65</v>
      </c>
      <c r="F69" s="85">
        <v>45843</v>
      </c>
      <c r="G69" s="86">
        <v>10</v>
      </c>
      <c r="H69" s="86">
        <v>10</v>
      </c>
      <c r="I69" s="86">
        <v>10</v>
      </c>
      <c r="J69" s="87">
        <v>10</v>
      </c>
      <c r="K69" s="87">
        <v>10</v>
      </c>
      <c r="L69" s="87">
        <v>25</v>
      </c>
      <c r="M69" s="87"/>
      <c r="N69" s="93">
        <f t="shared" si="0"/>
        <v>-10</v>
      </c>
      <c r="O69" s="85">
        <v>45905</v>
      </c>
      <c r="P69" s="88"/>
    </row>
    <row r="70" spans="1:16" ht="14.45" x14ac:dyDescent="0.3">
      <c r="A70" s="34">
        <v>62.795220894693003</v>
      </c>
      <c r="B70" s="83">
        <v>136</v>
      </c>
      <c r="C70" s="54" t="str">
        <f>IF(ISERROR(VLOOKUP(B70,CLIENTES!A:B,2,0)),"",VLOOKUP(B70,CLIENTES!A:B,2,0))</f>
        <v>Luis Rivero</v>
      </c>
      <c r="D70" s="84" t="s">
        <v>5</v>
      </c>
      <c r="E70" s="55">
        <f>IF(ISERROR(VLOOKUP(D70,'Lista de Precio '!A:C,3,0)),"",VLOOKUP(D70,'Lista de Precio '!A:C,3,0))</f>
        <v>28.5</v>
      </c>
      <c r="F70" s="85">
        <v>45843</v>
      </c>
      <c r="G70" s="86">
        <v>10</v>
      </c>
      <c r="H70" s="86">
        <v>5</v>
      </c>
      <c r="I70" s="86">
        <v>13.5</v>
      </c>
      <c r="J70" s="87"/>
      <c r="K70" s="87"/>
      <c r="L70" s="87"/>
      <c r="M70" s="87"/>
      <c r="N70" s="93">
        <f t="shared" si="0"/>
        <v>0</v>
      </c>
      <c r="O70" s="85">
        <v>45905</v>
      </c>
      <c r="P70" s="88"/>
    </row>
    <row r="71" spans="1:16" ht="14.45" x14ac:dyDescent="0.3">
      <c r="A71" s="34">
        <v>63.707418727424297</v>
      </c>
      <c r="B71" s="83">
        <v>136</v>
      </c>
      <c r="C71" s="54" t="str">
        <f>IF(ISERROR(VLOOKUP(B71,CLIENTES!A:B,2,0)),"",VLOOKUP(B71,CLIENTES!A:B,2,0))</f>
        <v>Luis Rivero</v>
      </c>
      <c r="D71" s="84" t="s">
        <v>35</v>
      </c>
      <c r="E71" s="55">
        <f>IF(ISERROR(VLOOKUP(D71,'Lista de Precio '!A:C,3,0)),"",VLOOKUP(D71,'Lista de Precio '!A:C,3,0))</f>
        <v>60</v>
      </c>
      <c r="F71" s="85">
        <v>45843</v>
      </c>
      <c r="G71" s="86">
        <v>35</v>
      </c>
      <c r="H71" s="86">
        <v>10</v>
      </c>
      <c r="I71" s="86">
        <v>15</v>
      </c>
      <c r="J71" s="87"/>
      <c r="K71" s="87"/>
      <c r="L71" s="87"/>
      <c r="M71" s="87"/>
      <c r="N71" s="93">
        <f t="shared" si="0"/>
        <v>0</v>
      </c>
      <c r="O71" s="85">
        <v>45905</v>
      </c>
      <c r="P71" s="50"/>
    </row>
    <row r="72" spans="1:16" ht="14.45" x14ac:dyDescent="0.3">
      <c r="A72" s="34">
        <v>64.619616560155507</v>
      </c>
      <c r="B72" s="73">
        <v>139</v>
      </c>
      <c r="C72" s="74" t="str">
        <f>IF(ISERROR(VLOOKUP(B72,CLIENTES!A:B,2,0)),"",VLOOKUP(B72,CLIENTES!A:B,2,0))</f>
        <v>Wendy Rondon</v>
      </c>
      <c r="D72" s="75" t="s">
        <v>35</v>
      </c>
      <c r="E72" s="76">
        <f>IF(ISERROR(VLOOKUP(D72,'Lista de Precio '!A:C,3,0)),"",VLOOKUP(D72,'Lista de Precio '!A:C,3,0))</f>
        <v>60</v>
      </c>
      <c r="F72" s="81">
        <v>45843</v>
      </c>
      <c r="G72" s="76"/>
      <c r="H72" s="76"/>
      <c r="I72" s="76"/>
      <c r="J72" s="76"/>
      <c r="K72" s="76"/>
      <c r="L72" s="76"/>
      <c r="M72" s="76"/>
      <c r="N72" s="53">
        <f t="shared" ref="N72:N90" si="1">IF(D72="","",E72-G72-H72-I72-J72-K72-L72-M72)</f>
        <v>60</v>
      </c>
      <c r="O72" s="81">
        <v>45905</v>
      </c>
      <c r="P72" s="76"/>
    </row>
    <row r="73" spans="1:16" ht="14.45" x14ac:dyDescent="0.3">
      <c r="A73" s="34">
        <v>65.531814392886801</v>
      </c>
      <c r="B73" s="73">
        <v>117</v>
      </c>
      <c r="C73" s="74" t="str">
        <f>IF(ISERROR(VLOOKUP(B73,CLIENTES!A:B,2,0)),"",VLOOKUP(B73,CLIENTES!A:B,2,0))</f>
        <v>Yelismar Solano</v>
      </c>
      <c r="D73" s="75" t="s">
        <v>34</v>
      </c>
      <c r="E73" s="76">
        <f>IF(ISERROR(VLOOKUP(D73,'Lista de Precio '!A:C,3,0)),"",VLOOKUP(D73,'Lista de Precio '!A:C,3,0))</f>
        <v>65</v>
      </c>
      <c r="F73" s="81">
        <v>45843</v>
      </c>
      <c r="G73" s="76"/>
      <c r="H73" s="76"/>
      <c r="I73" s="76"/>
      <c r="J73" s="76"/>
      <c r="K73" s="76"/>
      <c r="L73" s="76"/>
      <c r="M73" s="76"/>
      <c r="N73" s="53">
        <f t="shared" si="1"/>
        <v>65</v>
      </c>
      <c r="O73" s="81">
        <v>45905</v>
      </c>
      <c r="P73" s="76"/>
    </row>
    <row r="74" spans="1:16" ht="14.45" x14ac:dyDescent="0.3">
      <c r="A74" s="34">
        <v>66.444012225618096</v>
      </c>
      <c r="B74" s="37">
        <v>128</v>
      </c>
      <c r="C74" s="82" t="str">
        <f>IF(ISERROR(VLOOKUP(B74,CLIENTES!A:B,2,0)),"",VLOOKUP(B74,CLIENTES!A:B,2,0))</f>
        <v>Ciribeth Guerrero</v>
      </c>
      <c r="D74" s="39" t="s">
        <v>11</v>
      </c>
      <c r="E74" s="21">
        <f>IF(ISERROR(VLOOKUP(D74,'Lista de Precio '!A:C,3,0)),"",VLOOKUP(D74,'Lista de Precio '!A:C,3,0))</f>
        <v>73</v>
      </c>
      <c r="F74" s="40" t="s">
        <v>165</v>
      </c>
      <c r="G74" s="41">
        <v>20</v>
      </c>
      <c r="H74" s="41">
        <v>40</v>
      </c>
      <c r="I74" s="41">
        <v>5</v>
      </c>
      <c r="J74" s="42"/>
      <c r="K74" s="42"/>
      <c r="L74" s="42"/>
      <c r="M74" s="42"/>
      <c r="N74" s="53">
        <f t="shared" si="1"/>
        <v>8</v>
      </c>
      <c r="O74" s="40" t="s">
        <v>165</v>
      </c>
      <c r="P74" s="49" t="s">
        <v>158</v>
      </c>
    </row>
    <row r="75" spans="1:16" ht="14.45" x14ac:dyDescent="0.3">
      <c r="A75" s="34">
        <v>67.356210058349504</v>
      </c>
      <c r="B75" s="83">
        <v>128</v>
      </c>
      <c r="C75" s="54" t="str">
        <f>IF(ISERROR(VLOOKUP(B75,CLIENTES!A:B,2,0)),"",VLOOKUP(B75,CLIENTES!A:B,2,0))</f>
        <v>Ciribeth Guerrero</v>
      </c>
      <c r="D75" s="84" t="s">
        <v>12</v>
      </c>
      <c r="E75" s="55">
        <f>IF(ISERROR(VLOOKUP(D75,'Lista de Precio '!A:C,3,0)),"",VLOOKUP(D75,'Lista de Precio '!A:C,3,0))</f>
        <v>85</v>
      </c>
      <c r="F75" s="85" t="s">
        <v>165</v>
      </c>
      <c r="G75" s="86">
        <v>30</v>
      </c>
      <c r="H75" s="86">
        <v>55</v>
      </c>
      <c r="I75" s="86"/>
      <c r="J75" s="87"/>
      <c r="K75" s="87"/>
      <c r="L75" s="87"/>
      <c r="M75" s="87"/>
      <c r="N75" s="93">
        <f t="shared" si="1"/>
        <v>0</v>
      </c>
      <c r="O75" s="85" t="s">
        <v>165</v>
      </c>
      <c r="P75" s="88" t="s">
        <v>158</v>
      </c>
    </row>
    <row r="76" spans="1:16" x14ac:dyDescent="0.25">
      <c r="A76" s="34">
        <v>68.268407891080798</v>
      </c>
      <c r="B76" s="37">
        <v>136</v>
      </c>
      <c r="C76" s="20" t="str">
        <f>IF(ISERROR(VLOOKUP(B76,CLIENTES!A:B,2,0)),"",VLOOKUP(B76,CLIENTES!A:B,2,0))</f>
        <v>Luis Rivero</v>
      </c>
      <c r="D76" s="39" t="s">
        <v>14</v>
      </c>
      <c r="E76" s="21">
        <f>IF(ISERROR(VLOOKUP(D76,'Lista de Precio '!A:C,3,0)),"",VLOOKUP(D76,'Lista de Precio '!A:C,3,0))</f>
        <v>40</v>
      </c>
      <c r="F76" s="40">
        <v>45843</v>
      </c>
      <c r="G76" s="41">
        <v>10</v>
      </c>
      <c r="H76" s="41"/>
      <c r="I76" s="41"/>
      <c r="J76" s="42"/>
      <c r="K76" s="42"/>
      <c r="L76" s="42"/>
      <c r="M76" s="42"/>
      <c r="N76" s="53">
        <f t="shared" si="1"/>
        <v>30</v>
      </c>
      <c r="O76" s="40">
        <v>45905</v>
      </c>
      <c r="P76" s="49" t="s">
        <v>344</v>
      </c>
    </row>
    <row r="77" spans="1:16" x14ac:dyDescent="0.25">
      <c r="A77" s="34">
        <v>69.180605723812107</v>
      </c>
      <c r="B77" s="83">
        <v>140</v>
      </c>
      <c r="C77" s="54" t="str">
        <f>IF(ISERROR(VLOOKUP(B77,CLIENTES!A:B,2,0)),"",VLOOKUP(B77,CLIENTES!A:B,2,0))</f>
        <v>Danco Papel</v>
      </c>
      <c r="D77" s="84" t="s">
        <v>19</v>
      </c>
      <c r="E77" s="55">
        <f>IF(ISERROR(VLOOKUP(D77,'Lista de Precio '!A:C,3,0)),"",VLOOKUP(D77,'Lista de Precio '!A:C,3,0))</f>
        <v>95</v>
      </c>
      <c r="F77" s="85">
        <v>45850</v>
      </c>
      <c r="G77" s="86">
        <v>13</v>
      </c>
      <c r="H77" s="86">
        <v>40</v>
      </c>
      <c r="I77" s="86">
        <v>13</v>
      </c>
      <c r="J77" s="87">
        <v>29</v>
      </c>
      <c r="K77" s="87"/>
      <c r="L77" s="87"/>
      <c r="M77" s="87"/>
      <c r="N77" s="93">
        <f t="shared" si="1"/>
        <v>0</v>
      </c>
      <c r="O77" s="85">
        <v>45912</v>
      </c>
      <c r="P77" s="88"/>
    </row>
    <row r="78" spans="1:16" s="89" customFormat="1" ht="14.45" x14ac:dyDescent="0.3">
      <c r="A78" s="98">
        <v>70.092803556543402</v>
      </c>
      <c r="B78" s="83">
        <v>141</v>
      </c>
      <c r="C78" s="54" t="str">
        <f>IF(ISERROR(VLOOKUP(B78,CLIENTES!A:B,2,0)),"",VLOOKUP(B78,CLIENTES!A:B,2,0))</f>
        <v>Homer Danco</v>
      </c>
      <c r="D78" s="84" t="s">
        <v>3</v>
      </c>
      <c r="E78" s="55">
        <f>IF(ISERROR(VLOOKUP(D78,'Lista de Precio '!A:C,3,0)),"",VLOOKUP(D78,'Lista de Precio '!A:C,3,0))</f>
        <v>28.5</v>
      </c>
      <c r="F78" s="85">
        <v>45850</v>
      </c>
      <c r="G78" s="86">
        <v>10</v>
      </c>
      <c r="H78" s="86">
        <v>5</v>
      </c>
      <c r="I78" s="86">
        <v>10</v>
      </c>
      <c r="J78" s="87">
        <v>3.5</v>
      </c>
      <c r="K78" s="87"/>
      <c r="L78" s="87"/>
      <c r="M78" s="87"/>
      <c r="N78" s="93">
        <f t="shared" si="1"/>
        <v>0</v>
      </c>
      <c r="O78" s="85">
        <v>45912</v>
      </c>
      <c r="P78" s="88"/>
    </row>
    <row r="79" spans="1:16" x14ac:dyDescent="0.25">
      <c r="A79" s="34">
        <v>71.005001389274696</v>
      </c>
      <c r="B79">
        <v>142</v>
      </c>
      <c r="C79" t="str">
        <f>IF(ISERROR(VLOOKUP(B79,CLIENTES!A:B,2,0)),"",VLOOKUP(B79,CLIENTES!A:B,2,0))</f>
        <v>Maykel</v>
      </c>
      <c r="D79" s="44" t="s">
        <v>19</v>
      </c>
      <c r="E79" s="45">
        <f>IF(ISERROR(VLOOKUP(D79,'Lista de Precio '!A:C,3,0)),"",VLOOKUP(D79,'Lista de Precio '!A:C,3,0))</f>
        <v>95</v>
      </c>
      <c r="F79" s="46">
        <v>45850</v>
      </c>
      <c r="G79" s="47"/>
      <c r="H79" s="47"/>
      <c r="I79" s="47"/>
      <c r="J79" s="48"/>
      <c r="K79" s="48"/>
      <c r="L79" s="48"/>
      <c r="M79" s="48"/>
      <c r="N79" s="53">
        <f t="shared" si="1"/>
        <v>95</v>
      </c>
      <c r="O79" s="46">
        <v>45912</v>
      </c>
      <c r="P79" s="50"/>
    </row>
    <row r="80" spans="1:16" ht="14.45" x14ac:dyDescent="0.3">
      <c r="A80" s="34">
        <v>71.917199222005905</v>
      </c>
      <c r="B80" s="83">
        <v>105</v>
      </c>
      <c r="C80" s="54" t="str">
        <f>IF(ISERROR(VLOOKUP(B80,CLIENTES!A:B,2,0)),"",VLOOKUP(B80,CLIENTES!A:B,2,0))</f>
        <v>Yonathan Gamez</v>
      </c>
      <c r="D80" s="84" t="s">
        <v>32</v>
      </c>
      <c r="E80" s="55">
        <f>IF(ISERROR(VLOOKUP(D80,'Lista de Precio '!A:C,3,0)),"",VLOOKUP(D80,'Lista de Precio '!A:C,3,0))</f>
        <v>45</v>
      </c>
      <c r="F80" s="85">
        <v>45852</v>
      </c>
      <c r="G80" s="86" t="s">
        <v>174</v>
      </c>
      <c r="H80" s="86"/>
      <c r="I80" s="86"/>
      <c r="J80" s="87"/>
      <c r="K80" s="87"/>
      <c r="L80" s="87"/>
      <c r="M80" s="87"/>
      <c r="N80" s="93" t="e">
        <f t="shared" si="1"/>
        <v>#VALUE!</v>
      </c>
      <c r="O80" s="85">
        <v>45914</v>
      </c>
      <c r="P80" s="88"/>
    </row>
    <row r="81" spans="1:16" ht="14.45" x14ac:dyDescent="0.3">
      <c r="A81" s="34">
        <v>72.8293970547372</v>
      </c>
      <c r="B81" s="83">
        <v>140</v>
      </c>
      <c r="C81" s="54" t="str">
        <f>IF(ISERROR(VLOOKUP(B81,CLIENTES!A:B,2,0)),"",VLOOKUP(B81,CLIENTES!A:B,2,0))</f>
        <v>Danco Papel</v>
      </c>
      <c r="D81" s="84" t="s">
        <v>47</v>
      </c>
      <c r="E81" s="55">
        <f>IF(ISERROR(VLOOKUP(D81,'Lista de Precio '!A:C,3,0)),"",VLOOKUP(D81,'Lista de Precio '!A:C,3,0))</f>
        <v>50</v>
      </c>
      <c r="F81" s="85">
        <v>45852</v>
      </c>
      <c r="G81" s="86">
        <v>11</v>
      </c>
      <c r="H81" s="86">
        <v>39</v>
      </c>
      <c r="I81" s="86"/>
      <c r="J81" s="87"/>
      <c r="K81" s="87"/>
      <c r="L81" s="87"/>
      <c r="M81" s="87"/>
      <c r="N81" s="93">
        <f t="shared" si="1"/>
        <v>0</v>
      </c>
      <c r="O81" s="85">
        <v>45914</v>
      </c>
      <c r="P81" s="88"/>
    </row>
    <row r="82" spans="1:16" ht="14.45" x14ac:dyDescent="0.3">
      <c r="A82" s="34">
        <v>73.741594887468494</v>
      </c>
      <c r="B82" s="37">
        <v>143</v>
      </c>
      <c r="C82" s="54" t="str">
        <f>IF(ISERROR(VLOOKUP(B82,CLIENTES!A:B,2,0)),"",VLOOKUP(B82,CLIENTES!A:B,2,0))</f>
        <v>Jean Molina</v>
      </c>
      <c r="D82" s="39" t="s">
        <v>11</v>
      </c>
      <c r="E82" s="21">
        <f>IF(ISERROR(VLOOKUP(D82,'Lista de Precio '!A:C,3,0)),"",VLOOKUP(D82,'Lista de Precio '!A:C,3,0))</f>
        <v>73</v>
      </c>
      <c r="F82" s="40">
        <v>45852</v>
      </c>
      <c r="G82" s="41">
        <v>73</v>
      </c>
      <c r="H82" s="41"/>
      <c r="I82" s="41"/>
      <c r="J82" s="42"/>
      <c r="K82" s="42"/>
      <c r="L82" s="42"/>
      <c r="M82" s="42"/>
      <c r="N82" s="53">
        <f t="shared" si="1"/>
        <v>0</v>
      </c>
      <c r="O82" s="40">
        <v>45914</v>
      </c>
      <c r="P82" s="49"/>
    </row>
    <row r="83" spans="1:16" ht="14.45" x14ac:dyDescent="0.3">
      <c r="A83" s="34">
        <v>74.653792720199704</v>
      </c>
      <c r="B83" s="83">
        <v>143</v>
      </c>
      <c r="C83" s="54" t="str">
        <f>IF(ISERROR(VLOOKUP(B83,CLIENTES!A:B,2,0)),"",VLOOKUP(B83,CLIENTES!A:B,2,0))</f>
        <v>Jean Molina</v>
      </c>
      <c r="D83" s="84" t="s">
        <v>37</v>
      </c>
      <c r="E83" s="55">
        <f>IF(ISERROR(VLOOKUP(D83,'Lista de Precio '!A:C,3,0)),"",VLOOKUP(D83,'Lista de Precio '!A:C,3,0))</f>
        <v>40</v>
      </c>
      <c r="F83" s="85">
        <v>45852</v>
      </c>
      <c r="G83" s="86">
        <v>35</v>
      </c>
      <c r="H83" s="86">
        <v>5</v>
      </c>
      <c r="I83" s="86"/>
      <c r="J83" s="87"/>
      <c r="K83" s="87"/>
      <c r="L83" s="87"/>
      <c r="M83" s="87"/>
      <c r="N83" s="93">
        <f t="shared" si="1"/>
        <v>0</v>
      </c>
      <c r="O83" s="85">
        <v>45914</v>
      </c>
      <c r="P83" s="88"/>
    </row>
    <row r="84" spans="1:16" ht="14.45" x14ac:dyDescent="0.3">
      <c r="A84" s="34">
        <v>75.565990552930998</v>
      </c>
      <c r="B84" s="83">
        <v>143</v>
      </c>
      <c r="C84" s="54" t="str">
        <f>IF(ISERROR(VLOOKUP(B84,CLIENTES!A:B,2,0)),"",VLOOKUP(B84,CLIENTES!A:B,2,0))</f>
        <v>Jean Molina</v>
      </c>
      <c r="D84" s="84" t="s">
        <v>52</v>
      </c>
      <c r="E84" s="55">
        <f>IF(ISERROR(VLOOKUP(D84,'Lista de Precio '!A:C,3,0)),"",VLOOKUP(D84,'Lista de Precio '!A:C,3,0))</f>
        <v>45</v>
      </c>
      <c r="F84" s="85">
        <v>45852</v>
      </c>
      <c r="G84" s="86">
        <v>40</v>
      </c>
      <c r="H84" s="86">
        <v>5</v>
      </c>
      <c r="I84" s="86"/>
      <c r="J84" s="87"/>
      <c r="K84" s="87"/>
      <c r="L84" s="87"/>
      <c r="M84" s="87"/>
      <c r="N84" s="93">
        <f t="shared" si="1"/>
        <v>0</v>
      </c>
      <c r="O84" s="85">
        <v>45914</v>
      </c>
      <c r="P84" s="88"/>
    </row>
    <row r="85" spans="1:16" ht="14.45" x14ac:dyDescent="0.3">
      <c r="A85" s="34">
        <v>76.478188385662307</v>
      </c>
      <c r="B85" s="83">
        <v>103</v>
      </c>
      <c r="C85" s="54" t="str">
        <f>IF(ISERROR(VLOOKUP(B85,CLIENTES!A:B,2,0)),"",VLOOKUP(B85,CLIENTES!A:B,2,0))</f>
        <v xml:space="preserve">Wenrit Corro </v>
      </c>
      <c r="D85" s="84" t="s">
        <v>54</v>
      </c>
      <c r="E85" s="55">
        <f>IF(ISERROR(VLOOKUP(D85,'Lista de Precio '!A:C,3,0)),"",VLOOKUP(D85,'Lista de Precio '!A:C,3,0))</f>
        <v>60</v>
      </c>
      <c r="F85" s="85">
        <v>45852</v>
      </c>
      <c r="G85" s="86">
        <v>40</v>
      </c>
      <c r="H85" s="86">
        <v>20</v>
      </c>
      <c r="I85" s="86"/>
      <c r="J85" s="87"/>
      <c r="K85" s="87"/>
      <c r="L85" s="87"/>
      <c r="M85" s="87"/>
      <c r="N85" s="93">
        <f t="shared" si="1"/>
        <v>0</v>
      </c>
      <c r="O85" s="85">
        <v>45914</v>
      </c>
      <c r="P85" s="88"/>
    </row>
    <row r="86" spans="1:16" x14ac:dyDescent="0.25">
      <c r="A86" s="34">
        <v>77.390386218393601</v>
      </c>
      <c r="B86" s="37">
        <v>144</v>
      </c>
      <c r="C86" s="54" t="str">
        <f>IF(ISERROR(VLOOKUP(B86,CLIENTES!A:B,2,0)),"",VLOOKUP(B86,CLIENTES!A:B,2,0))</f>
        <v>Yosber Caracas</v>
      </c>
      <c r="D86" s="39" t="s">
        <v>43</v>
      </c>
      <c r="E86" s="21">
        <f>IF(ISERROR(VLOOKUP(D86,'Lista de Precio '!A:C,3,0)),"",VLOOKUP(D86,'Lista de Precio '!A:C,3,0))</f>
        <v>85</v>
      </c>
      <c r="F86" s="40">
        <v>45855</v>
      </c>
      <c r="G86" s="41">
        <v>30</v>
      </c>
      <c r="H86" s="41"/>
      <c r="I86" s="41"/>
      <c r="J86" s="42"/>
      <c r="K86" s="42"/>
      <c r="L86" s="42"/>
      <c r="M86" s="42"/>
      <c r="N86" s="53">
        <f t="shared" si="1"/>
        <v>55</v>
      </c>
      <c r="O86" s="40">
        <v>45917</v>
      </c>
      <c r="P86" s="49"/>
    </row>
    <row r="87" spans="1:16" ht="14.45" x14ac:dyDescent="0.3">
      <c r="A87" s="34">
        <v>78.302584051124896</v>
      </c>
      <c r="B87" s="83">
        <v>145</v>
      </c>
      <c r="C87" s="54" t="str">
        <f>IF(ISERROR(VLOOKUP(B87,CLIENTES!A:B,2,0)),"",VLOOKUP(B87,CLIENTES!A:B,2,0))</f>
        <v xml:space="preserve">Abrahan Andres Contreras </v>
      </c>
      <c r="D87" s="84" t="s">
        <v>30</v>
      </c>
      <c r="E87" s="55">
        <f>IF(ISERROR(VLOOKUP(D87,'Lista de Precio '!A:C,3,0)),"",VLOOKUP(D87,'Lista de Precio '!A:C,3,0))</f>
        <v>45</v>
      </c>
      <c r="F87" s="85">
        <v>45859</v>
      </c>
      <c r="G87" s="86">
        <v>60</v>
      </c>
      <c r="H87" s="86"/>
      <c r="I87" s="86"/>
      <c r="J87" s="87"/>
      <c r="K87" s="87"/>
      <c r="L87" s="87"/>
      <c r="M87" s="87"/>
      <c r="N87" s="93">
        <f t="shared" si="1"/>
        <v>-15</v>
      </c>
      <c r="O87" s="85">
        <v>45890</v>
      </c>
      <c r="P87" s="88"/>
    </row>
    <row r="88" spans="1:16" ht="14.45" x14ac:dyDescent="0.3">
      <c r="A88" s="34">
        <v>79.214781883856205</v>
      </c>
      <c r="B88" s="83">
        <v>145</v>
      </c>
      <c r="C88" s="54" t="str">
        <f>IF(ISERROR(VLOOKUP(B88,CLIENTES!A:B,2,0)),"",VLOOKUP(B88,CLIENTES!A:B,2,0))</f>
        <v xml:space="preserve">Abrahan Andres Contreras </v>
      </c>
      <c r="D88" s="84" t="s">
        <v>52</v>
      </c>
      <c r="E88" s="55">
        <f>IF(ISERROR(VLOOKUP(D88,'Lista de Precio '!A:C,3,0)),"",VLOOKUP(D88,'Lista de Precio '!A:C,3,0))</f>
        <v>45</v>
      </c>
      <c r="F88" s="85">
        <v>45859</v>
      </c>
      <c r="G88" s="86">
        <v>30</v>
      </c>
      <c r="H88" s="86"/>
      <c r="I88" s="86"/>
      <c r="J88" s="87"/>
      <c r="K88" s="87"/>
      <c r="L88" s="87"/>
      <c r="M88" s="87"/>
      <c r="N88" s="93">
        <f t="shared" si="1"/>
        <v>15</v>
      </c>
      <c r="O88" s="85">
        <v>45890</v>
      </c>
      <c r="P88" s="88"/>
    </row>
    <row r="89" spans="1:16" ht="14.45" x14ac:dyDescent="0.3">
      <c r="A89" s="34">
        <v>80.126979716587499</v>
      </c>
      <c r="B89" s="83">
        <v>145</v>
      </c>
      <c r="C89" s="54" t="str">
        <f>IF(ISERROR(VLOOKUP(B89,CLIENTES!A:B,2,0)),"",VLOOKUP(B89,CLIENTES!A:B,2,0))</f>
        <v xml:space="preserve">Abrahan Andres Contreras </v>
      </c>
      <c r="D89" s="84" t="s">
        <v>55</v>
      </c>
      <c r="E89" s="55">
        <f>IF(ISERROR(VLOOKUP(D89,'Lista de Precio '!A:C,3,0)),"",VLOOKUP(D89,'Lista de Precio '!A:C,3,0))</f>
        <v>65</v>
      </c>
      <c r="F89" s="85">
        <v>45859</v>
      </c>
      <c r="G89" s="86">
        <v>20</v>
      </c>
      <c r="H89" s="86"/>
      <c r="I89" s="86"/>
      <c r="J89" s="87"/>
      <c r="K89" s="87"/>
      <c r="L89" s="87"/>
      <c r="M89" s="87"/>
      <c r="N89" s="93">
        <f t="shared" si="1"/>
        <v>45</v>
      </c>
      <c r="O89" s="85">
        <v>45921</v>
      </c>
      <c r="P89" s="88"/>
    </row>
    <row r="90" spans="1:16" ht="14.45" x14ac:dyDescent="0.3">
      <c r="A90" s="34">
        <v>81.039177549318794</v>
      </c>
      <c r="B90" s="37">
        <v>146</v>
      </c>
      <c r="C90" s="20" t="str">
        <f>IF(ISERROR(VLOOKUP(B90,CLIENTES!A:B,2,0)),"",VLOOKUP(B90,CLIENTES!A:B,2,0))</f>
        <v>Alvaro Tomassi</v>
      </c>
      <c r="D90" s="39" t="s">
        <v>186</v>
      </c>
      <c r="E90" s="21">
        <v>55</v>
      </c>
      <c r="F90" s="40">
        <v>45863</v>
      </c>
      <c r="G90" s="41"/>
      <c r="H90" s="41"/>
      <c r="I90" s="41"/>
      <c r="J90" s="42"/>
      <c r="K90" s="42"/>
      <c r="L90" s="42"/>
      <c r="M90" s="42"/>
      <c r="N90" s="53">
        <f t="shared" si="1"/>
        <v>55</v>
      </c>
      <c r="O90" s="40">
        <v>45925</v>
      </c>
      <c r="P90" s="49"/>
    </row>
    <row r="91" spans="1:16" ht="14.45" x14ac:dyDescent="0.3">
      <c r="A91" s="34">
        <v>82</v>
      </c>
      <c r="B91" s="83">
        <v>140</v>
      </c>
      <c r="C91" s="54" t="str">
        <f>IF(ISERROR(VLOOKUP(B91,CLIENTES!A:B,2,0)),"",VLOOKUP(B91,CLIENTES!A:B,2,0))</f>
        <v>Danco Papel</v>
      </c>
      <c r="D91" s="84" t="s">
        <v>186</v>
      </c>
      <c r="E91" s="55">
        <v>55</v>
      </c>
      <c r="F91" s="85">
        <v>45897</v>
      </c>
      <c r="G91" s="86">
        <v>25</v>
      </c>
      <c r="H91" s="86">
        <v>5</v>
      </c>
      <c r="I91" s="86">
        <v>25</v>
      </c>
      <c r="J91" s="87"/>
      <c r="K91" s="87"/>
      <c r="L91" s="87"/>
      <c r="M91" s="87"/>
      <c r="N91" s="55">
        <f t="shared" ref="N91:N113" si="2">IF(D91="","",E91-G91-H91-I91-J91)</f>
        <v>0</v>
      </c>
      <c r="O91" s="85"/>
      <c r="P91" s="88"/>
    </row>
    <row r="92" spans="1:16" ht="14.45" x14ac:dyDescent="0.3">
      <c r="A92" s="34">
        <v>82.863573214781397</v>
      </c>
      <c r="B92" s="83">
        <v>102</v>
      </c>
      <c r="C92" s="54" t="str">
        <f>IF(ISERROR(VLOOKUP(B92,CLIENTES!A:B,2,0)),"",VLOOKUP(B92,CLIENTES!A:B,2,0))</f>
        <v>Genesis Torres</v>
      </c>
      <c r="D92" s="84" t="s">
        <v>184</v>
      </c>
      <c r="E92" s="55">
        <v>55</v>
      </c>
      <c r="F92" s="85">
        <v>45898</v>
      </c>
      <c r="G92" s="86">
        <v>20</v>
      </c>
      <c r="H92" s="86"/>
      <c r="I92" s="86"/>
      <c r="J92" s="87"/>
      <c r="K92" s="87"/>
      <c r="L92" s="87"/>
      <c r="M92" s="87"/>
      <c r="N92" s="55">
        <f t="shared" si="2"/>
        <v>35</v>
      </c>
      <c r="O92" s="85"/>
      <c r="P92" s="88"/>
    </row>
    <row r="93" spans="1:16" ht="14.45" x14ac:dyDescent="0.3">
      <c r="A93" s="34">
        <v>83.775771047512706</v>
      </c>
      <c r="B93" s="83">
        <v>102</v>
      </c>
      <c r="C93" s="54" t="str">
        <f>IF(ISERROR(VLOOKUP(B93,CLIENTES!A:B,2,0)),"",VLOOKUP(B93,CLIENTES!A:B,2,0))</f>
        <v>Genesis Torres</v>
      </c>
      <c r="D93" s="84" t="s">
        <v>187</v>
      </c>
      <c r="E93" s="55">
        <f>IF(ISERROR(VLOOKUP(D93,'Lista de Precio '!A:C,3,0)),"",VLOOKUP(D93,'Lista de Precio '!A:C,3,0))</f>
        <v>45</v>
      </c>
      <c r="F93" s="85">
        <v>45898</v>
      </c>
      <c r="G93" s="86"/>
      <c r="H93" s="86"/>
      <c r="I93" s="86"/>
      <c r="J93" s="87"/>
      <c r="K93" s="87"/>
      <c r="L93" s="87"/>
      <c r="M93" s="87"/>
      <c r="N93" s="55">
        <f t="shared" si="2"/>
        <v>45</v>
      </c>
      <c r="O93" s="85"/>
      <c r="P93" s="88"/>
    </row>
    <row r="94" spans="1:16" ht="14.45" x14ac:dyDescent="0.3">
      <c r="A94" s="34">
        <v>84.687968880244</v>
      </c>
      <c r="B94" s="83">
        <v>147</v>
      </c>
      <c r="C94" s="54" t="str">
        <f>IF(ISERROR(VLOOKUP(B94,CLIENTES!A:B,2,0)),"",VLOOKUP(B94,CLIENTES!A:B,2,0))</f>
        <v>Cristian Yelismar</v>
      </c>
      <c r="D94" s="84" t="s">
        <v>9</v>
      </c>
      <c r="E94" s="55">
        <f>IF(ISERROR(VLOOKUP(D94,'Lista de Precio '!A:C,3,0)),"",VLOOKUP(D94,'Lista de Precio '!A:C,3,0))</f>
        <v>60</v>
      </c>
      <c r="F94" s="85" t="s">
        <v>190</v>
      </c>
      <c r="G94" s="86">
        <v>20</v>
      </c>
      <c r="H94" s="86">
        <v>20</v>
      </c>
      <c r="I94" s="86">
        <v>20</v>
      </c>
      <c r="J94" s="87"/>
      <c r="K94" s="87"/>
      <c r="L94" s="87"/>
      <c r="M94" s="87"/>
      <c r="N94" s="55">
        <f t="shared" si="2"/>
        <v>0</v>
      </c>
      <c r="O94" s="85"/>
      <c r="P94" s="88"/>
    </row>
    <row r="95" spans="1:16" ht="14.45" x14ac:dyDescent="0.3">
      <c r="A95" s="34">
        <v>85.600166712975295</v>
      </c>
      <c r="B95" s="133">
        <v>136</v>
      </c>
      <c r="C95" s="134" t="str">
        <f>IF(ISERROR(VLOOKUP(B95,CLIENTES!A:B,2,0)),"",VLOOKUP(B95,CLIENTES!A:B,2,0))</f>
        <v>Luis Rivero</v>
      </c>
      <c r="D95" s="135" t="s">
        <v>29</v>
      </c>
      <c r="E95" s="136">
        <f>IF(ISERROR(VLOOKUP(D95,'Lista de Precio '!A:C,3,0)),"",VLOOKUP(D95,'Lista de Precio '!A:C,3,0))</f>
        <v>45</v>
      </c>
      <c r="F95" s="137">
        <v>45894</v>
      </c>
      <c r="G95" s="138">
        <v>5</v>
      </c>
      <c r="H95" s="138"/>
      <c r="I95" s="138"/>
      <c r="J95" s="139"/>
      <c r="K95" s="139"/>
      <c r="L95" s="139"/>
      <c r="M95" s="139"/>
      <c r="N95" s="136">
        <f t="shared" si="2"/>
        <v>40</v>
      </c>
      <c r="O95" s="137"/>
      <c r="P95" s="141" t="s">
        <v>340</v>
      </c>
    </row>
    <row r="96" spans="1:16" ht="14.45" x14ac:dyDescent="0.3">
      <c r="A96" s="34">
        <v>86.512364545706603</v>
      </c>
      <c r="B96" s="142">
        <v>136</v>
      </c>
      <c r="C96" s="143" t="str">
        <f>IF(ISERROR(VLOOKUP(B96,CLIENTES!A:B,2,0)),"",VLOOKUP(B96,CLIENTES!A:B,2,0))</f>
        <v>Luis Rivero</v>
      </c>
      <c r="D96" s="144" t="s">
        <v>180</v>
      </c>
      <c r="E96" s="145">
        <v>50</v>
      </c>
      <c r="F96" s="146">
        <v>45899</v>
      </c>
      <c r="G96" s="147">
        <v>25</v>
      </c>
      <c r="H96" s="147"/>
      <c r="I96" s="147"/>
      <c r="J96" s="148"/>
      <c r="K96" s="148"/>
      <c r="L96" s="148"/>
      <c r="M96" s="148"/>
      <c r="N96" s="145">
        <f t="shared" si="2"/>
        <v>25</v>
      </c>
      <c r="O96" s="146"/>
      <c r="P96" s="149" t="s">
        <v>341</v>
      </c>
    </row>
    <row r="97" spans="1:16" ht="14.45" x14ac:dyDescent="0.3">
      <c r="A97" s="34">
        <v>87.424562378437898</v>
      </c>
      <c r="B97" s="133">
        <v>136</v>
      </c>
      <c r="C97" s="134" t="str">
        <f>IF(ISERROR(VLOOKUP(B97,CLIENTES!A:B,2,0)),"",VLOOKUP(B97,CLIENTES!A:B,2,0))</f>
        <v>Luis Rivero</v>
      </c>
      <c r="D97" s="135" t="s">
        <v>92</v>
      </c>
      <c r="E97" s="136">
        <v>40</v>
      </c>
      <c r="F97" s="137">
        <v>45901</v>
      </c>
      <c r="G97" s="138"/>
      <c r="H97" s="138"/>
      <c r="I97" s="138"/>
      <c r="J97" s="139"/>
      <c r="K97" s="139"/>
      <c r="L97" s="139"/>
      <c r="M97" s="139"/>
      <c r="N97" s="136">
        <f t="shared" si="2"/>
        <v>40</v>
      </c>
      <c r="O97" s="137"/>
      <c r="P97" s="141" t="s">
        <v>342</v>
      </c>
    </row>
    <row r="98" spans="1:16" ht="14.45" x14ac:dyDescent="0.3">
      <c r="A98" s="34">
        <v>88.336760211169207</v>
      </c>
      <c r="B98" s="83">
        <v>111</v>
      </c>
      <c r="C98" s="54" t="str">
        <f>IF(ISERROR(VLOOKUP(B98,CLIENTES!A:B,2,0)),"",VLOOKUP(B98,CLIENTES!A:B,2,0))</f>
        <v>Gregorio Salcedo</v>
      </c>
      <c r="D98" s="84" t="s">
        <v>181</v>
      </c>
      <c r="E98" s="55">
        <f>IF(ISERROR(VLOOKUP(D98,'Lista de Precio '!A:C,3,0)),"",VLOOKUP(D98,'Lista de Precio '!A:C,3,0))</f>
        <v>60</v>
      </c>
      <c r="F98" s="85">
        <v>45910</v>
      </c>
      <c r="G98" s="86">
        <v>60</v>
      </c>
      <c r="H98" s="86">
        <v>0</v>
      </c>
      <c r="I98" s="86"/>
      <c r="J98" s="87"/>
      <c r="K98" s="87"/>
      <c r="L98" s="87"/>
      <c r="M98" s="87"/>
      <c r="N98" s="55">
        <f t="shared" si="2"/>
        <v>0</v>
      </c>
      <c r="O98" s="85"/>
      <c r="P98" s="88">
        <v>65</v>
      </c>
    </row>
    <row r="99" spans="1:16" ht="14.45" x14ac:dyDescent="0.3">
      <c r="A99" s="34">
        <v>89.248958043900501</v>
      </c>
      <c r="B99" s="83">
        <v>111</v>
      </c>
      <c r="C99" s="54" t="str">
        <f>IF(ISERROR(VLOOKUP(B99,CLIENTES!A:B,2,0)),"",VLOOKUP(B99,CLIENTES!A:B,2,0))</f>
        <v>Gregorio Salcedo</v>
      </c>
      <c r="D99" s="84" t="s">
        <v>179</v>
      </c>
      <c r="E99" s="55">
        <f>IF(ISERROR(VLOOKUP(D99,'Lista de Precio '!A:C,3,0)),"",VLOOKUP(D99,'Lista de Precio '!A:C,3,0))</f>
        <v>55</v>
      </c>
      <c r="F99" s="85">
        <v>45910</v>
      </c>
      <c r="G99" s="86">
        <v>55</v>
      </c>
      <c r="H99" s="86"/>
      <c r="I99" s="86"/>
      <c r="J99" s="87"/>
      <c r="K99" s="87"/>
      <c r="L99" s="87"/>
      <c r="M99" s="87"/>
      <c r="N99" s="55">
        <f t="shared" si="2"/>
        <v>0</v>
      </c>
      <c r="O99" s="85"/>
      <c r="P99" s="88">
        <v>65</v>
      </c>
    </row>
    <row r="100" spans="1:16" ht="14.45" x14ac:dyDescent="0.3">
      <c r="A100" s="34">
        <v>90.161155876631696</v>
      </c>
      <c r="B100" s="37">
        <v>128</v>
      </c>
      <c r="C100" s="20" t="str">
        <f>IF(ISERROR(VLOOKUP(B100,CLIENTES!A:B,2,0)),"",VLOOKUP(B100,CLIENTES!A:B,2,0))</f>
        <v>Ciribeth Guerrero</v>
      </c>
      <c r="D100" s="39" t="s">
        <v>45</v>
      </c>
      <c r="E100" s="21">
        <v>55</v>
      </c>
      <c r="F100" s="40">
        <v>45912</v>
      </c>
      <c r="G100" s="41">
        <v>20</v>
      </c>
      <c r="H100" s="41">
        <v>15</v>
      </c>
      <c r="I100" s="41"/>
      <c r="J100" s="42"/>
      <c r="K100" s="42"/>
      <c r="L100" s="42"/>
      <c r="M100" s="42"/>
      <c r="N100" s="21">
        <f t="shared" si="2"/>
        <v>20</v>
      </c>
      <c r="O100" s="40"/>
      <c r="P100" s="49" t="s">
        <v>191</v>
      </c>
    </row>
    <row r="101" spans="1:16" ht="14.45" x14ac:dyDescent="0.3">
      <c r="A101" s="34">
        <v>91.073353709363005</v>
      </c>
      <c r="B101" s="38">
        <v>128</v>
      </c>
      <c r="C101" s="43" t="str">
        <f>IF(ISERROR(VLOOKUP(B101,CLIENTES!A:B,2,0)),"",VLOOKUP(B101,CLIENTES!A:B,2,0))</f>
        <v>Ciribeth Guerrero</v>
      </c>
      <c r="D101" s="44" t="s">
        <v>41</v>
      </c>
      <c r="E101" s="45">
        <f>IF(ISERROR(VLOOKUP(D101,'Lista de Precio '!A:C,3,0)),"",VLOOKUP(D101,'Lista de Precio '!A:C,3,0))</f>
        <v>55</v>
      </c>
      <c r="F101" s="46">
        <v>45912</v>
      </c>
      <c r="G101" s="47">
        <v>10</v>
      </c>
      <c r="H101" s="47">
        <v>10</v>
      </c>
      <c r="I101" s="47">
        <v>10</v>
      </c>
      <c r="J101" s="48">
        <v>10</v>
      </c>
      <c r="K101" s="48"/>
      <c r="L101" s="48"/>
      <c r="M101" s="48"/>
      <c r="N101" s="45">
        <f t="shared" si="2"/>
        <v>15</v>
      </c>
      <c r="O101" s="46"/>
      <c r="P101" s="50" t="s">
        <v>192</v>
      </c>
    </row>
    <row r="102" spans="1:16" ht="14.45" x14ac:dyDescent="0.3">
      <c r="A102" s="34">
        <v>91.985551542094299</v>
      </c>
      <c r="B102" s="37">
        <v>128</v>
      </c>
      <c r="C102" s="20" t="str">
        <f>IF(ISERROR(VLOOKUP(B102,CLIENTES!A:B,2,0)),"",VLOOKUP(B102,CLIENTES!A:B,2,0))</f>
        <v>Ciribeth Guerrero</v>
      </c>
      <c r="D102" s="39" t="s">
        <v>53</v>
      </c>
      <c r="E102" s="21">
        <f>IF(ISERROR(VLOOKUP(D102,'Lista de Precio '!A:C,3,0)),"",VLOOKUP(D102,'Lista de Precio '!A:C,3,0))</f>
        <v>45</v>
      </c>
      <c r="F102" s="40">
        <v>45912</v>
      </c>
      <c r="G102" s="41"/>
      <c r="H102" s="41"/>
      <c r="I102" s="41"/>
      <c r="J102" s="42"/>
      <c r="K102" s="42"/>
      <c r="L102" s="42"/>
      <c r="M102" s="42"/>
      <c r="N102" s="21">
        <f t="shared" si="2"/>
        <v>45</v>
      </c>
      <c r="O102" s="40"/>
      <c r="P102" s="49" t="s">
        <v>193</v>
      </c>
    </row>
    <row r="103" spans="1:16" ht="14.45" x14ac:dyDescent="0.3">
      <c r="A103" s="34">
        <v>92.897749374825594</v>
      </c>
      <c r="B103" s="83">
        <v>128</v>
      </c>
      <c r="C103" s="54" t="str">
        <f>IF(ISERROR(VLOOKUP(B103,CLIENTES!A:B,2,0)),"",VLOOKUP(B103,CLIENTES!A:B,2,0))</f>
        <v>Ciribeth Guerrero</v>
      </c>
      <c r="D103" s="84" t="s">
        <v>183</v>
      </c>
      <c r="E103" s="55">
        <f>IF(ISERROR(VLOOKUP(D103,'Lista de Precio '!A:C,3,0)),"",VLOOKUP(D103,'Lista de Precio '!A:C,3,0))</f>
        <v>60</v>
      </c>
      <c r="F103" s="85">
        <v>45921</v>
      </c>
      <c r="G103" s="86">
        <v>20</v>
      </c>
      <c r="H103" s="86">
        <v>40</v>
      </c>
      <c r="I103" s="86"/>
      <c r="J103" s="87"/>
      <c r="K103" s="87"/>
      <c r="L103" s="87"/>
      <c r="M103" s="87"/>
      <c r="N103" s="55">
        <f t="shared" si="2"/>
        <v>0</v>
      </c>
      <c r="O103" s="85"/>
      <c r="P103" s="88" t="s">
        <v>194</v>
      </c>
    </row>
    <row r="104" spans="1:16" ht="14.45" x14ac:dyDescent="0.3">
      <c r="A104" s="34">
        <v>93.809947207556903</v>
      </c>
      <c r="B104" s="83">
        <v>120</v>
      </c>
      <c r="C104" s="54" t="str">
        <f>IF(ISERROR(VLOOKUP(B104,CLIENTES!A:B,2,0)),"",VLOOKUP(B104,CLIENTES!A:B,2,0))</f>
        <v>Junior Hidromaticos</v>
      </c>
      <c r="D104" s="84" t="s">
        <v>36</v>
      </c>
      <c r="E104" s="55">
        <f>IF(ISERROR(VLOOKUP(D104,'Lista de Precio '!A:C,3,0)),"",VLOOKUP(D104,'Lista de Precio '!A:C,3,0))</f>
        <v>40</v>
      </c>
      <c r="F104" s="85">
        <v>45926</v>
      </c>
      <c r="G104" s="86">
        <v>40</v>
      </c>
      <c r="H104" s="86"/>
      <c r="I104" s="86"/>
      <c r="J104" s="87"/>
      <c r="K104" s="87"/>
      <c r="L104" s="87"/>
      <c r="M104" s="87"/>
      <c r="N104" s="55">
        <f t="shared" si="2"/>
        <v>0</v>
      </c>
      <c r="O104" s="85"/>
      <c r="P104" s="88"/>
    </row>
    <row r="105" spans="1:16" ht="14.45" x14ac:dyDescent="0.3">
      <c r="A105" s="34">
        <v>94.722145040288197</v>
      </c>
      <c r="B105" s="83">
        <v>120</v>
      </c>
      <c r="C105" s="54" t="str">
        <f>IF(ISERROR(VLOOKUP(B105,CLIENTES!A:B,2,0)),"",VLOOKUP(B105,CLIENTES!A:B,2,0))</f>
        <v>Junior Hidromaticos</v>
      </c>
      <c r="D105" s="84" t="s">
        <v>195</v>
      </c>
      <c r="E105" s="55">
        <f>IF(ISERROR(VLOOKUP(D105,'Lista de Precio '!A:C,3,0)),"",VLOOKUP(D105,'Lista de Precio '!A:C,3,0))</f>
        <v>40</v>
      </c>
      <c r="F105" s="85">
        <v>45926</v>
      </c>
      <c r="G105" s="86">
        <v>20</v>
      </c>
      <c r="H105" s="86">
        <v>20</v>
      </c>
      <c r="I105" s="86"/>
      <c r="J105" s="87"/>
      <c r="K105" s="87"/>
      <c r="L105" s="87"/>
      <c r="M105" s="87"/>
      <c r="N105" s="55">
        <f t="shared" si="2"/>
        <v>0</v>
      </c>
      <c r="O105" s="85"/>
      <c r="P105" s="88"/>
    </row>
    <row r="106" spans="1:16" ht="14.45" x14ac:dyDescent="0.3">
      <c r="A106" s="34">
        <v>95.634342873019506</v>
      </c>
      <c r="B106" s="83">
        <v>148</v>
      </c>
      <c r="C106" s="54" t="str">
        <f>IF(ISERROR(VLOOKUP(B106,CLIENTES!A:B,2,0)),"",VLOOKUP(B106,CLIENTES!A:B,2,0))</f>
        <v>Jair Hidromaticos</v>
      </c>
      <c r="D106" s="84" t="s">
        <v>9</v>
      </c>
      <c r="E106" s="55">
        <f>IF(ISERROR(VLOOKUP(D106,'Lista de Precio '!A:C,3,0)),"",VLOOKUP(D106,'Lista de Precio '!A:C,3,0))</f>
        <v>60</v>
      </c>
      <c r="F106" s="85">
        <v>45926</v>
      </c>
      <c r="G106" s="86">
        <v>40</v>
      </c>
      <c r="H106" s="86"/>
      <c r="I106" s="86"/>
      <c r="J106" s="87"/>
      <c r="K106" s="87"/>
      <c r="L106" s="87"/>
      <c r="M106" s="87"/>
      <c r="N106" s="55">
        <f t="shared" si="2"/>
        <v>20</v>
      </c>
      <c r="O106" s="85"/>
      <c r="P106" s="88"/>
    </row>
    <row r="107" spans="1:16" ht="14.45" x14ac:dyDescent="0.3">
      <c r="A107" s="34">
        <v>96.5465407057508</v>
      </c>
      <c r="B107" s="83">
        <v>148</v>
      </c>
      <c r="C107" s="54" t="str">
        <f>IF(ISERROR(VLOOKUP(B107,CLIENTES!A:B,2,0)),"",VLOOKUP(B107,CLIENTES!A:B,2,0))</f>
        <v>Jair Hidromaticos</v>
      </c>
      <c r="D107" s="84" t="s">
        <v>41</v>
      </c>
      <c r="E107" s="55">
        <f>IF(ISERROR(VLOOKUP(D107,'Lista de Precio '!A:C,3,0)),"",VLOOKUP(D107,'Lista de Precio '!A:C,3,0))</f>
        <v>55</v>
      </c>
      <c r="F107" s="85">
        <v>45926</v>
      </c>
      <c r="G107" s="86">
        <v>40</v>
      </c>
      <c r="H107" s="86">
        <v>15</v>
      </c>
      <c r="I107" s="86"/>
      <c r="J107" s="87"/>
      <c r="K107" s="87"/>
      <c r="L107" s="87"/>
      <c r="M107" s="87"/>
      <c r="N107" s="55">
        <f t="shared" si="2"/>
        <v>0</v>
      </c>
      <c r="O107" s="85"/>
      <c r="P107" s="88"/>
    </row>
    <row r="108" spans="1:16" ht="14.45" x14ac:dyDescent="0.3">
      <c r="A108" s="34">
        <v>97.458738538482095</v>
      </c>
      <c r="B108" s="83">
        <v>148</v>
      </c>
      <c r="C108" s="54" t="str">
        <f>IF(ISERROR(VLOOKUP(B108,CLIENTES!A:B,2,0)),"",VLOOKUP(B108,CLIENTES!A:B,2,0))</f>
        <v>Jair Hidromaticos</v>
      </c>
      <c r="D108" s="84" t="s">
        <v>181</v>
      </c>
      <c r="E108" s="55">
        <f>IF(ISERROR(VLOOKUP(D108,'Lista de Precio '!A:C,3,0)),"",VLOOKUP(D108,'Lista de Precio '!A:C,3,0))</f>
        <v>60</v>
      </c>
      <c r="F108" s="85">
        <v>45926</v>
      </c>
      <c r="G108" s="86">
        <v>40</v>
      </c>
      <c r="H108" s="86">
        <v>20</v>
      </c>
      <c r="I108" s="86"/>
      <c r="J108" s="87"/>
      <c r="K108" s="87"/>
      <c r="L108" s="87"/>
      <c r="M108" s="87"/>
      <c r="N108" s="55">
        <f t="shared" si="2"/>
        <v>0</v>
      </c>
      <c r="O108" s="85"/>
      <c r="P108" s="88"/>
    </row>
    <row r="109" spans="1:16" ht="14.45" x14ac:dyDescent="0.3">
      <c r="A109" s="34">
        <v>98.370936371213404</v>
      </c>
      <c r="B109" s="83">
        <v>149</v>
      </c>
      <c r="C109" s="54" t="str">
        <f>IF(ISERROR(VLOOKUP(B109,CLIENTES!A:B,2,0)),"",VLOOKUP(B109,CLIENTES!A:B,2,0))</f>
        <v>Nikolay Parra</v>
      </c>
      <c r="D109" s="84" t="s">
        <v>18</v>
      </c>
      <c r="E109" s="55">
        <f>IF(ISERROR(VLOOKUP(D109,'Lista de Precio '!A:C,3,0)),"",VLOOKUP(D109,'Lista de Precio '!A:C,3,0))</f>
        <v>65</v>
      </c>
      <c r="F109" s="85">
        <v>45932</v>
      </c>
      <c r="G109" s="86"/>
      <c r="H109" s="86"/>
      <c r="I109" s="86"/>
      <c r="J109" s="87"/>
      <c r="K109" s="87"/>
      <c r="L109" s="87"/>
      <c r="M109" s="87"/>
      <c r="N109" s="55">
        <f t="shared" si="2"/>
        <v>65</v>
      </c>
      <c r="O109" s="85"/>
      <c r="P109" s="88"/>
    </row>
    <row r="110" spans="1:16" ht="14.45" x14ac:dyDescent="0.3">
      <c r="A110" s="34">
        <v>99.283134203944698</v>
      </c>
      <c r="B110" s="83">
        <v>136</v>
      </c>
      <c r="C110" s="54" t="str">
        <f>IF(ISERROR(VLOOKUP(B110,CLIENTES!A:B,2,0)),"",VLOOKUP(B110,CLIENTES!A:B,2,0))</f>
        <v>Luis Rivero</v>
      </c>
      <c r="D110" s="84" t="s">
        <v>27</v>
      </c>
      <c r="E110" s="55">
        <f>IF(ISERROR(VLOOKUP(D110,'Lista de Precio '!A:C,3,0)),"",VLOOKUP(D110,'Lista de Precio '!A:C,3,0))</f>
        <v>45</v>
      </c>
      <c r="F110" s="85"/>
      <c r="G110" s="86">
        <v>15</v>
      </c>
      <c r="H110" s="86">
        <v>30</v>
      </c>
      <c r="I110" s="86"/>
      <c r="J110" s="87"/>
      <c r="K110" s="87"/>
      <c r="L110" s="87"/>
      <c r="M110" s="87"/>
      <c r="N110" s="55">
        <f t="shared" si="2"/>
        <v>0</v>
      </c>
      <c r="O110" s="85"/>
      <c r="P110" s="88" t="s">
        <v>343</v>
      </c>
    </row>
    <row r="111" spans="1:16" ht="14.25" customHeight="1" x14ac:dyDescent="0.3">
      <c r="A111" s="34">
        <v>100.19533203667601</v>
      </c>
      <c r="B111" s="83">
        <v>110</v>
      </c>
      <c r="C111" s="54" t="str">
        <f>IF(ISERROR(VLOOKUP(B111,CLIENTES!A:B,2,0)),"",VLOOKUP(B111,CLIENTES!A:B,2,0))</f>
        <v>Milana Medina</v>
      </c>
      <c r="D111" s="84" t="s">
        <v>29</v>
      </c>
      <c r="E111" s="55">
        <f>IF(ISERROR(VLOOKUP(D111,'Lista de Precio '!A:C,3,0)),"",VLOOKUP(D111,'Lista de Precio '!A:C,3,0))</f>
        <v>45</v>
      </c>
      <c r="F111" s="85"/>
      <c r="G111" s="86"/>
      <c r="H111" s="86"/>
      <c r="I111" s="86"/>
      <c r="J111" s="87"/>
      <c r="K111" s="87"/>
      <c r="L111" s="87"/>
      <c r="M111" s="87"/>
      <c r="N111" s="55">
        <f t="shared" si="2"/>
        <v>45</v>
      </c>
      <c r="O111" s="85"/>
      <c r="P111" s="88"/>
    </row>
    <row r="112" spans="1:16" ht="14.45" x14ac:dyDescent="0.3">
      <c r="A112" s="34">
        <v>101.107529869407</v>
      </c>
      <c r="B112" s="37">
        <v>150</v>
      </c>
      <c r="C112" s="20" t="str">
        <f>IF(ISERROR(VLOOKUP(B112,CLIENTES!A:B,2,0)),"",VLOOKUP(B112,CLIENTES!A:B,2,0))</f>
        <v>Andreina</v>
      </c>
      <c r="D112" s="39" t="s">
        <v>188</v>
      </c>
      <c r="E112" s="21">
        <f>IF(ISERROR(VLOOKUP(D112,'Lista de Precio '!A:C,3,0)),"",VLOOKUP(D112,'Lista de Precio '!A:C,3,0))</f>
        <v>45</v>
      </c>
      <c r="F112" s="40"/>
      <c r="G112" s="41">
        <v>20</v>
      </c>
      <c r="H112" s="41">
        <v>10</v>
      </c>
      <c r="I112" s="41">
        <v>5</v>
      </c>
      <c r="J112" s="42">
        <v>5</v>
      </c>
      <c r="K112" s="42"/>
      <c r="L112" s="42"/>
      <c r="M112" s="42"/>
      <c r="N112" s="21">
        <f t="shared" si="2"/>
        <v>5</v>
      </c>
      <c r="O112" s="40"/>
      <c r="P112" s="49">
        <v>50</v>
      </c>
    </row>
    <row r="113" spans="1:16" ht="14.45" x14ac:dyDescent="0.3">
      <c r="A113" s="34">
        <v>102.01972770213899</v>
      </c>
      <c r="B113" s="150">
        <v>150</v>
      </c>
      <c r="C113" s="151" t="str">
        <f>IF(ISERROR(VLOOKUP(B113,CLIENTES!A:B,2,0)),"",VLOOKUP(B113,CLIENTES!A:B,2,0))</f>
        <v>Andreina</v>
      </c>
      <c r="D113" s="152" t="s">
        <v>41</v>
      </c>
      <c r="E113" s="153">
        <f>IF(ISERROR(VLOOKUP(D113,'Lista de Precio '!A:C,3,0)),"",VLOOKUP(D113,'Lista de Precio '!A:C,3,0))</f>
        <v>55</v>
      </c>
      <c r="F113" s="154"/>
      <c r="G113" s="155">
        <v>20</v>
      </c>
      <c r="H113" s="155">
        <v>35</v>
      </c>
      <c r="I113" s="155"/>
      <c r="J113" s="156"/>
      <c r="K113" s="156"/>
      <c r="L113" s="156"/>
      <c r="M113" s="156"/>
      <c r="N113" s="157">
        <f t="shared" si="2"/>
        <v>0</v>
      </c>
      <c r="O113" s="154"/>
      <c r="P113" s="158">
        <v>60</v>
      </c>
    </row>
    <row r="114" spans="1:16" ht="14.45" x14ac:dyDescent="0.3">
      <c r="A114" s="34">
        <v>102.93192553487</v>
      </c>
      <c r="B114" s="206" t="s">
        <v>235</v>
      </c>
      <c r="C114" s="207"/>
      <c r="D114" s="207"/>
      <c r="E114" s="207"/>
      <c r="F114" s="207"/>
      <c r="G114" s="207"/>
      <c r="H114" s="207"/>
      <c r="I114" s="207"/>
      <c r="J114" s="207"/>
      <c r="K114" s="207"/>
      <c r="L114" s="207"/>
      <c r="M114" s="207"/>
      <c r="N114" s="207"/>
      <c r="O114" s="207"/>
      <c r="P114" s="208"/>
    </row>
    <row r="115" spans="1:16" ht="14.45" x14ac:dyDescent="0.3">
      <c r="A115" s="34">
        <v>103.844123367601</v>
      </c>
      <c r="B115" s="83">
        <v>151</v>
      </c>
      <c r="C115" s="89" t="str">
        <f>IF(ISERROR(VLOOKUP(B115,CLIENTES!A:B,2,0)),"",VLOOKUP(B115,CLIENTES!A:B,2,0))</f>
        <v>Yosber Boticario</v>
      </c>
      <c r="D115" s="84" t="s">
        <v>7</v>
      </c>
      <c r="E115" s="55">
        <f>IF(ISERROR(VLOOKUP(D115,'Lista de Precio '!A:C,3,0)),"",VLOOKUP(D115,'Lista de Precio '!A:C,3,0))</f>
        <v>60</v>
      </c>
      <c r="F115" s="85">
        <v>45974</v>
      </c>
      <c r="G115" s="86">
        <v>60</v>
      </c>
      <c r="H115" s="86"/>
      <c r="I115" s="86"/>
      <c r="J115" s="87"/>
      <c r="K115" s="87"/>
      <c r="L115" s="87"/>
      <c r="M115" s="87"/>
      <c r="N115" s="55">
        <f t="shared" ref="N115:N178" si="3">IF(D115="","",E115-G115-H115-I115-J115)</f>
        <v>0</v>
      </c>
      <c r="O115" s="85"/>
      <c r="P115" s="88" t="s">
        <v>242</v>
      </c>
    </row>
    <row r="116" spans="1:16" ht="14.45" x14ac:dyDescent="0.3">
      <c r="A116" s="34">
        <v>104.756321200332</v>
      </c>
      <c r="B116" s="84">
        <v>152</v>
      </c>
      <c r="C116" s="54" t="str">
        <f>IF(ISERROR(VLOOKUP(B116,CLIENTES!A:B,2,0)),"",VLOOKUP(B116,CLIENTES!A:B,2,0))</f>
        <v>Rafael Molina</v>
      </c>
      <c r="D116" s="84" t="s">
        <v>10</v>
      </c>
      <c r="E116" s="55">
        <f>IF(ISERROR(VLOOKUP(D116,'Lista de Precio '!A:C,3,0)),"",VLOOKUP(D116,'Lista de Precio '!A:C,3,0))</f>
        <v>65</v>
      </c>
      <c r="F116" s="85">
        <v>45974</v>
      </c>
      <c r="G116" s="86">
        <v>20</v>
      </c>
      <c r="H116" s="86">
        <v>20</v>
      </c>
      <c r="I116" s="86">
        <v>25</v>
      </c>
      <c r="J116" s="86"/>
      <c r="K116" s="86"/>
      <c r="L116" s="86"/>
      <c r="M116" s="86"/>
      <c r="N116" s="55">
        <f t="shared" si="3"/>
        <v>0</v>
      </c>
      <c r="O116" s="85"/>
      <c r="P116" s="84" t="s">
        <v>244</v>
      </c>
    </row>
    <row r="117" spans="1:16" ht="14.45" x14ac:dyDescent="0.3">
      <c r="A117" s="34">
        <v>105.668519033064</v>
      </c>
      <c r="B117" s="90">
        <v>153</v>
      </c>
      <c r="C117" s="89" t="str">
        <f>IF(ISERROR(VLOOKUP(B117,CLIENTES!A:B,2,0)),"",VLOOKUP(B117,CLIENTES!A:B,2,0))</f>
        <v>Luis Barbero</v>
      </c>
      <c r="D117" s="84" t="s">
        <v>203</v>
      </c>
      <c r="E117" s="55">
        <f>IF(ISERROR(VLOOKUP(D117,'Lista de Precio '!A:C,3,0)),"",VLOOKUP(D117,'Lista de Precio '!A:C,3,0))</f>
        <v>60</v>
      </c>
      <c r="F117" s="94">
        <v>45974</v>
      </c>
      <c r="G117" s="95">
        <v>20</v>
      </c>
      <c r="H117" s="95">
        <v>20</v>
      </c>
      <c r="I117" s="95">
        <v>20</v>
      </c>
      <c r="J117" s="96"/>
      <c r="K117" s="96"/>
      <c r="L117" s="96"/>
      <c r="M117" s="96"/>
      <c r="N117" s="55">
        <f t="shared" si="3"/>
        <v>0</v>
      </c>
      <c r="O117" s="94"/>
      <c r="P117" s="97" t="s">
        <v>242</v>
      </c>
    </row>
    <row r="118" spans="1:16" ht="14.45" x14ac:dyDescent="0.3">
      <c r="A118" s="34">
        <v>106.580716865794</v>
      </c>
      <c r="B118" s="83">
        <v>104</v>
      </c>
      <c r="C118" s="54" t="str">
        <f>IF(ISERROR(VLOOKUP(B118,CLIENTES!A:B,2,0)),"",VLOOKUP(B118,CLIENTES!A:B,2,0))</f>
        <v>Maria Quintana</v>
      </c>
      <c r="D118" s="84" t="s">
        <v>203</v>
      </c>
      <c r="E118" s="55">
        <v>40</v>
      </c>
      <c r="F118" s="85">
        <v>45974</v>
      </c>
      <c r="G118" s="86">
        <v>40</v>
      </c>
      <c r="H118" s="86"/>
      <c r="I118" s="86"/>
      <c r="J118" s="87"/>
      <c r="K118" s="87"/>
      <c r="L118" s="87"/>
      <c r="M118" s="87"/>
      <c r="N118" s="55">
        <f t="shared" si="3"/>
        <v>0</v>
      </c>
      <c r="O118" s="85"/>
      <c r="P118" s="88" t="s">
        <v>243</v>
      </c>
    </row>
    <row r="119" spans="1:16" ht="14.45" x14ac:dyDescent="0.3">
      <c r="A119" s="34">
        <v>107.492914698525</v>
      </c>
      <c r="B119" s="150">
        <v>153</v>
      </c>
      <c r="C119" s="159" t="str">
        <f>IF(ISERROR(VLOOKUP(B119,CLIENTES!A:B,2,0)),"",VLOOKUP(B119,CLIENTES!A:B,2,0))</f>
        <v>Luis Barbero</v>
      </c>
      <c r="D119" s="152" t="s">
        <v>206</v>
      </c>
      <c r="E119" s="157">
        <f>IF(ISERROR(VLOOKUP(D119,'Lista de Precio '!A:C,3,0)),"",VLOOKUP(D119,'Lista de Precio '!A:C,3,0))</f>
        <v>65</v>
      </c>
      <c r="F119" s="154">
        <v>45974</v>
      </c>
      <c r="G119" s="155">
        <v>20</v>
      </c>
      <c r="H119" s="155">
        <v>30</v>
      </c>
      <c r="I119" s="155">
        <v>15</v>
      </c>
      <c r="J119" s="156"/>
      <c r="K119" s="156"/>
      <c r="L119" s="156"/>
      <c r="M119" s="156"/>
      <c r="N119" s="157">
        <f t="shared" si="3"/>
        <v>0</v>
      </c>
      <c r="O119" s="154"/>
      <c r="P119" s="158" t="s">
        <v>242</v>
      </c>
    </row>
    <row r="120" spans="1:16" ht="14.45" x14ac:dyDescent="0.3">
      <c r="A120" s="34">
        <v>108.40511253125599</v>
      </c>
      <c r="B120" s="83">
        <v>124</v>
      </c>
      <c r="C120" s="54" t="str">
        <f>IF(ISERROR(VLOOKUP(B120,CLIENTES!A:B,2,0)),"",VLOOKUP(B120,CLIENTES!A:B,2,0))</f>
        <v>Edgar Oati</v>
      </c>
      <c r="D120" s="84" t="s">
        <v>206</v>
      </c>
      <c r="E120" s="55">
        <f>IF(ISERROR(VLOOKUP(D120,'Lista de Precio '!A:C,3,0)),"",VLOOKUP(D120,'Lista de Precio '!A:C,3,0))</f>
        <v>65</v>
      </c>
      <c r="F120" s="85">
        <v>45974</v>
      </c>
      <c r="G120" s="86">
        <v>40</v>
      </c>
      <c r="H120" s="86">
        <v>25</v>
      </c>
      <c r="I120" s="86"/>
      <c r="J120" s="87"/>
      <c r="K120" s="87"/>
      <c r="L120" s="87"/>
      <c r="M120" s="87"/>
      <c r="N120" s="55">
        <f t="shared" si="3"/>
        <v>0</v>
      </c>
      <c r="O120" s="85"/>
      <c r="P120" s="88" t="s">
        <v>244</v>
      </c>
    </row>
    <row r="121" spans="1:16" x14ac:dyDescent="0.25">
      <c r="A121" s="34">
        <v>109.317310363987</v>
      </c>
      <c r="B121" s="83">
        <v>104</v>
      </c>
      <c r="C121" s="89" t="str">
        <f>IF(ISERROR(VLOOKUP(B121,CLIENTES!A:B,2,0)),"",VLOOKUP(B121,CLIENTES!A:B,2,0))</f>
        <v>Maria Quintana</v>
      </c>
      <c r="D121" s="84" t="s">
        <v>179</v>
      </c>
      <c r="E121" s="55">
        <v>40</v>
      </c>
      <c r="F121" s="85">
        <v>45974</v>
      </c>
      <c r="G121" s="86">
        <v>10</v>
      </c>
      <c r="H121" s="86"/>
      <c r="I121" s="86"/>
      <c r="J121" s="87"/>
      <c r="K121" s="87"/>
      <c r="L121" s="87"/>
      <c r="M121" s="87"/>
      <c r="N121" s="55">
        <f t="shared" si="3"/>
        <v>30</v>
      </c>
      <c r="O121" s="85"/>
      <c r="P121" s="88" t="s">
        <v>245</v>
      </c>
    </row>
    <row r="122" spans="1:16" ht="14.45" x14ac:dyDescent="0.3">
      <c r="A122" s="34">
        <v>110.229508196718</v>
      </c>
      <c r="B122" s="83">
        <v>154</v>
      </c>
      <c r="C122" s="54" t="str">
        <f>IF(ISERROR(VLOOKUP(B122,CLIENTES!A:B,2,0)),"",VLOOKUP(B122,CLIENTES!A:B,2,0))</f>
        <v>Pasante</v>
      </c>
      <c r="D122" s="84" t="s">
        <v>213</v>
      </c>
      <c r="E122" s="55">
        <f>IF(ISERROR(VLOOKUP(D122,'Lista de Precio '!A:C,3,0)),"",VLOOKUP(D122,'Lista de Precio '!A:C,3,0))</f>
        <v>20</v>
      </c>
      <c r="F122" s="85">
        <v>45974</v>
      </c>
      <c r="G122" s="86">
        <v>10</v>
      </c>
      <c r="H122" s="86">
        <v>10</v>
      </c>
      <c r="I122" s="86"/>
      <c r="J122" s="87"/>
      <c r="K122" s="87"/>
      <c r="L122" s="87"/>
      <c r="M122" s="87"/>
      <c r="N122" s="55">
        <f t="shared" si="3"/>
        <v>0</v>
      </c>
      <c r="O122" s="85"/>
      <c r="P122" s="88" t="s">
        <v>248</v>
      </c>
    </row>
    <row r="123" spans="1:16" ht="14.45" x14ac:dyDescent="0.3">
      <c r="A123" s="34">
        <v>111.141706029449</v>
      </c>
      <c r="B123" s="83">
        <v>155</v>
      </c>
      <c r="C123" s="89" t="str">
        <f>IF(ISERROR(VLOOKUP(B123,CLIENTES!A:B,2,0)),"",VLOOKUP(B123,CLIENTES!A:B,2,0))</f>
        <v>Karen Vergara</v>
      </c>
      <c r="D123" s="84" t="s">
        <v>216</v>
      </c>
      <c r="E123" s="55">
        <f>IF(ISERROR(VLOOKUP(D123,'Lista de Precio '!A:C,3,0)),"",VLOOKUP(D123,'Lista de Precio '!A:C,3,0))</f>
        <v>20</v>
      </c>
      <c r="F123" s="85">
        <v>45974</v>
      </c>
      <c r="G123" s="86">
        <v>20</v>
      </c>
      <c r="H123" s="86"/>
      <c r="I123" s="86"/>
      <c r="J123" s="87"/>
      <c r="K123" s="87"/>
      <c r="L123" s="87"/>
      <c r="M123" s="87"/>
      <c r="N123" s="55">
        <f t="shared" si="3"/>
        <v>0</v>
      </c>
      <c r="O123" s="85"/>
      <c r="P123" s="88" t="s">
        <v>247</v>
      </c>
    </row>
    <row r="124" spans="1:16" ht="14.45" x14ac:dyDescent="0.3">
      <c r="A124" s="34">
        <v>112.05390386217999</v>
      </c>
      <c r="B124" s="83">
        <v>156</v>
      </c>
      <c r="C124" s="54" t="str">
        <f>IF(ISERROR(VLOOKUP(B124,CLIENTES!A:B,2,0)),"",VLOOKUP(B124,CLIENTES!A:B,2,0))</f>
        <v>Jean Paul Toro</v>
      </c>
      <c r="D124" s="84" t="s">
        <v>226</v>
      </c>
      <c r="E124" s="55">
        <f>IF(ISERROR(VLOOKUP(D124,'Lista de Precio '!A:C,3,0)),"",VLOOKUP(D124,'Lista de Precio '!A:C,3,0))</f>
        <v>15</v>
      </c>
      <c r="F124" s="85">
        <v>45974</v>
      </c>
      <c r="G124" s="86">
        <v>15</v>
      </c>
      <c r="H124" s="86"/>
      <c r="I124" s="86"/>
      <c r="J124" s="87"/>
      <c r="K124" s="87"/>
      <c r="L124" s="87"/>
      <c r="M124" s="87"/>
      <c r="N124" s="55">
        <f t="shared" si="3"/>
        <v>0</v>
      </c>
      <c r="O124" s="85"/>
      <c r="P124" s="88" t="s">
        <v>247</v>
      </c>
    </row>
    <row r="125" spans="1:16" ht="14.45" x14ac:dyDescent="0.3">
      <c r="A125" s="34">
        <v>112.966101694911</v>
      </c>
      <c r="B125" s="83">
        <v>155</v>
      </c>
      <c r="C125" s="89" t="str">
        <f>IF(ISERROR(VLOOKUP(B125,CLIENTES!A:B,2,0)),"",VLOOKUP(B125,CLIENTES!A:B,2,0))</f>
        <v>Karen Vergara</v>
      </c>
      <c r="D125" s="84" t="s">
        <v>226</v>
      </c>
      <c r="E125" s="55">
        <f>IF(ISERROR(VLOOKUP(D125,'Lista de Precio '!A:C,3,0)),"",VLOOKUP(D125,'Lista de Precio '!A:C,3,0))</f>
        <v>15</v>
      </c>
      <c r="F125" s="85">
        <v>45974</v>
      </c>
      <c r="G125" s="86">
        <v>15</v>
      </c>
      <c r="H125" s="86"/>
      <c r="I125" s="86"/>
      <c r="J125" s="87"/>
      <c r="K125" s="87"/>
      <c r="L125" s="87"/>
      <c r="M125" s="87"/>
      <c r="N125" s="55">
        <f t="shared" si="3"/>
        <v>0</v>
      </c>
      <c r="O125" s="85"/>
      <c r="P125" s="88" t="s">
        <v>247</v>
      </c>
    </row>
    <row r="126" spans="1:16" ht="14.45" x14ac:dyDescent="0.3">
      <c r="A126" s="34">
        <v>113.878299527642</v>
      </c>
      <c r="B126" s="83">
        <v>132</v>
      </c>
      <c r="C126" s="54" t="str">
        <f>IF(ISERROR(VLOOKUP(B126,CLIENTES!A:B,2,0)),"",VLOOKUP(B126,CLIENTES!A:B,2,0))</f>
        <v>Cesar Chourio</v>
      </c>
      <c r="D126" s="84" t="s">
        <v>224</v>
      </c>
      <c r="E126" s="55">
        <f>IF(ISERROR(VLOOKUP(D126,'Lista de Precio '!A:C,3,0)),"",VLOOKUP(D126,'Lista de Precio '!A:C,3,0))</f>
        <v>15</v>
      </c>
      <c r="F126" s="85"/>
      <c r="G126" s="86">
        <v>15</v>
      </c>
      <c r="H126" s="86"/>
      <c r="I126" s="86"/>
      <c r="J126" s="87"/>
      <c r="K126" s="87"/>
      <c r="L126" s="87"/>
      <c r="M126" s="87"/>
      <c r="N126" s="55">
        <f t="shared" si="3"/>
        <v>0</v>
      </c>
      <c r="O126" s="85"/>
      <c r="P126" s="88"/>
    </row>
    <row r="127" spans="1:16" ht="14.45" x14ac:dyDescent="0.3">
      <c r="A127" s="34">
        <v>114.790497360373</v>
      </c>
      <c r="B127" s="83">
        <v>132</v>
      </c>
      <c r="C127" s="89" t="str">
        <f>IF(ISERROR(VLOOKUP(B127,CLIENTES!A:B,2,0)),"",VLOOKUP(B127,CLIENTES!A:B,2,0))</f>
        <v>Cesar Chourio</v>
      </c>
      <c r="D127" s="84" t="s">
        <v>224</v>
      </c>
      <c r="E127" s="55">
        <f>IF(ISERROR(VLOOKUP(D127,'Lista de Precio '!A:C,3,0)),"",VLOOKUP(D127,'Lista de Precio '!A:C,3,0))</f>
        <v>15</v>
      </c>
      <c r="F127" s="85"/>
      <c r="G127" s="86">
        <v>15</v>
      </c>
      <c r="H127" s="86"/>
      <c r="I127" s="86"/>
      <c r="J127" s="87"/>
      <c r="K127" s="87"/>
      <c r="L127" s="87"/>
      <c r="M127" s="87"/>
      <c r="N127" s="55">
        <f t="shared" si="3"/>
        <v>0</v>
      </c>
      <c r="O127" s="85"/>
      <c r="P127" s="88"/>
    </row>
    <row r="128" spans="1:16" ht="14.45" x14ac:dyDescent="0.3">
      <c r="A128" s="34">
        <v>115.70269519310401</v>
      </c>
      <c r="B128" s="83">
        <v>124</v>
      </c>
      <c r="C128" s="54" t="str">
        <f>IF(ISERROR(VLOOKUP(B128,CLIENTES!A:B,2,0)),"",VLOOKUP(B128,CLIENTES!A:B,2,0))</f>
        <v>Edgar Oati</v>
      </c>
      <c r="D128" s="84" t="s">
        <v>224</v>
      </c>
      <c r="E128" s="55">
        <f>IF(ISERROR(VLOOKUP(D128,'Lista de Precio '!A:C,3,0)),"",VLOOKUP(D128,'Lista de Precio '!A:C,3,0))</f>
        <v>15</v>
      </c>
      <c r="F128" s="85">
        <v>45974</v>
      </c>
      <c r="G128" s="86">
        <v>15</v>
      </c>
      <c r="H128" s="86"/>
      <c r="I128" s="86"/>
      <c r="J128" s="87"/>
      <c r="K128" s="87"/>
      <c r="L128" s="87"/>
      <c r="M128" s="87"/>
      <c r="N128" s="55">
        <f t="shared" si="3"/>
        <v>0</v>
      </c>
      <c r="O128" s="85"/>
      <c r="P128" s="88" t="s">
        <v>247</v>
      </c>
    </row>
    <row r="129" spans="1:16" ht="14.45" x14ac:dyDescent="0.3">
      <c r="A129" s="34">
        <v>116.614893025835</v>
      </c>
      <c r="B129" s="150">
        <v>147</v>
      </c>
      <c r="C129" s="159" t="str">
        <f>IF(ISERROR(VLOOKUP(B129,CLIENTES!A:B,2,0)),"",VLOOKUP(B129,CLIENTES!A:B,2,0))</f>
        <v>Cristian Yelismar</v>
      </c>
      <c r="D129" s="152" t="s">
        <v>206</v>
      </c>
      <c r="E129" s="157">
        <f>IF(ISERROR(VLOOKUP(D129,'Lista de Precio '!A:C,3,0)),"",VLOOKUP(D129,'Lista de Precio '!A:C,3,0))</f>
        <v>65</v>
      </c>
      <c r="F129" s="154">
        <v>45976</v>
      </c>
      <c r="G129" s="155">
        <v>40</v>
      </c>
      <c r="H129" s="155">
        <v>25</v>
      </c>
      <c r="I129" s="155"/>
      <c r="J129" s="156"/>
      <c r="K129" s="156"/>
      <c r="L129" s="156"/>
      <c r="M129" s="156"/>
      <c r="N129" s="157">
        <f t="shared" si="3"/>
        <v>0</v>
      </c>
      <c r="O129" s="154"/>
      <c r="P129" s="158" t="s">
        <v>94</v>
      </c>
    </row>
    <row r="130" spans="1:16" ht="14.45" x14ac:dyDescent="0.3">
      <c r="A130" s="34">
        <v>117.527090858566</v>
      </c>
      <c r="B130" s="160">
        <v>147</v>
      </c>
      <c r="C130" s="161" t="str">
        <f>IF(ISERROR(VLOOKUP(B130,CLIENTES!A:B,2,0)),"",VLOOKUP(B130,CLIENTES!A:B,2,0))</f>
        <v>Cristian Yelismar</v>
      </c>
      <c r="D130" s="162" t="s">
        <v>221</v>
      </c>
      <c r="E130" s="153">
        <f>IF(ISERROR(VLOOKUP(D130,'Lista de Precio '!A:C,3,0)),"",VLOOKUP(D130,'Lista de Precio '!A:C,3,0))</f>
        <v>15</v>
      </c>
      <c r="F130" s="163">
        <v>45976</v>
      </c>
      <c r="G130" s="164">
        <v>15</v>
      </c>
      <c r="H130" s="164"/>
      <c r="I130" s="164"/>
      <c r="J130" s="165"/>
      <c r="K130" s="165"/>
      <c r="L130" s="165"/>
      <c r="M130" s="165"/>
      <c r="N130" s="153">
        <f t="shared" si="3"/>
        <v>0</v>
      </c>
      <c r="O130" s="163"/>
      <c r="P130" s="166" t="s">
        <v>94</v>
      </c>
    </row>
    <row r="131" spans="1:16" ht="14.45" x14ac:dyDescent="0.3">
      <c r="A131" s="34">
        <v>118.43928869129699</v>
      </c>
      <c r="B131" s="38">
        <v>103</v>
      </c>
      <c r="C131" t="str">
        <f>IF(ISERROR(VLOOKUP(B131,CLIENTES!A:B,2,0)),"",VLOOKUP(B131,CLIENTES!A:B,2,0))</f>
        <v xml:space="preserve">Wenrit Corro </v>
      </c>
      <c r="D131" s="44" t="s">
        <v>215</v>
      </c>
      <c r="E131" s="45">
        <f>IF(ISERROR(VLOOKUP(D131,'Lista de Precio '!A:C,3,0)),"",VLOOKUP(D131,'Lista de Precio '!A:C,3,0))</f>
        <v>20</v>
      </c>
      <c r="F131" s="46">
        <v>45977</v>
      </c>
      <c r="G131" s="47"/>
      <c r="H131" s="47"/>
      <c r="I131" s="47"/>
      <c r="J131" s="48"/>
      <c r="K131" s="48"/>
      <c r="L131" s="48"/>
      <c r="M131" s="48"/>
      <c r="N131" s="45">
        <f t="shared" si="3"/>
        <v>20</v>
      </c>
      <c r="O131" s="46"/>
      <c r="P131" s="50" t="s">
        <v>242</v>
      </c>
    </row>
    <row r="132" spans="1:16" ht="14.45" x14ac:dyDescent="0.3">
      <c r="A132" s="34">
        <v>119.351486524028</v>
      </c>
      <c r="B132" s="83">
        <v>157</v>
      </c>
      <c r="C132" s="54" t="str">
        <f>IF(ISERROR(VLOOKUP(B132,CLIENTES!A:B,2,0)),"",VLOOKUP(B132,CLIENTES!A:B,2,0))</f>
        <v>Aida Corro</v>
      </c>
      <c r="D132" s="84" t="s">
        <v>209</v>
      </c>
      <c r="E132" s="55">
        <f>IF(ISERROR(VLOOKUP(D132,'Lista de Precio '!A:C,3,0)),"",VLOOKUP(D132,'Lista de Precio '!A:C,3,0))</f>
        <v>20</v>
      </c>
      <c r="F132" s="85">
        <v>45977</v>
      </c>
      <c r="G132" s="86">
        <v>20</v>
      </c>
      <c r="H132" s="86"/>
      <c r="I132" s="86"/>
      <c r="J132" s="87"/>
      <c r="K132" s="87"/>
      <c r="L132" s="87"/>
      <c r="M132" s="87"/>
      <c r="N132" s="55">
        <f t="shared" si="3"/>
        <v>0</v>
      </c>
      <c r="O132" s="85"/>
      <c r="P132" s="88" t="s">
        <v>254</v>
      </c>
    </row>
    <row r="133" spans="1:16" ht="14.45" x14ac:dyDescent="0.3">
      <c r="A133" s="34">
        <v>120.263684356759</v>
      </c>
      <c r="B133" s="83">
        <v>157</v>
      </c>
      <c r="C133" s="89" t="str">
        <f>IF(ISERROR(VLOOKUP(B133,CLIENTES!A:B,2,0)),"",VLOOKUP(B133,CLIENTES!A:B,2,0))</f>
        <v>Aida Corro</v>
      </c>
      <c r="D133" s="84" t="s">
        <v>220</v>
      </c>
      <c r="E133" s="55">
        <f>IF(ISERROR(VLOOKUP(D133,'Lista de Precio '!A:C,3,0)),"",VLOOKUP(D133,'Lista de Precio '!A:C,3,0))</f>
        <v>20</v>
      </c>
      <c r="F133" s="85">
        <v>45977</v>
      </c>
      <c r="G133" s="86">
        <v>20</v>
      </c>
      <c r="H133" s="86"/>
      <c r="I133" s="86"/>
      <c r="J133" s="87"/>
      <c r="K133" s="87"/>
      <c r="L133" s="87"/>
      <c r="M133" s="87"/>
      <c r="N133" s="55">
        <f t="shared" si="3"/>
        <v>0</v>
      </c>
      <c r="O133" s="85"/>
      <c r="P133" s="88" t="s">
        <v>254</v>
      </c>
    </row>
    <row r="134" spans="1:16" ht="14.45" x14ac:dyDescent="0.3">
      <c r="A134" s="34">
        <v>121.17588218949</v>
      </c>
      <c r="B134" s="83">
        <v>138</v>
      </c>
      <c r="C134" s="54" t="str">
        <f>IF(ISERROR(VLOOKUP(B134,CLIENTES!A:B,2,0)),"",VLOOKUP(B134,CLIENTES!A:B,2,0))</f>
        <v>Sandra Corro</v>
      </c>
      <c r="D134" s="84" t="s">
        <v>186</v>
      </c>
      <c r="E134" s="55">
        <f>IF(ISERROR(VLOOKUP(D134,'Lista de Precio '!A:C,3,0)),"",VLOOKUP(D134,'Lista de Precio '!A:C,3,0))</f>
        <v>50</v>
      </c>
      <c r="F134" s="85" t="s">
        <v>256</v>
      </c>
      <c r="G134" s="86">
        <v>20</v>
      </c>
      <c r="H134" s="86">
        <v>30</v>
      </c>
      <c r="I134" s="86"/>
      <c r="J134" s="87"/>
      <c r="K134" s="87"/>
      <c r="L134" s="87"/>
      <c r="M134" s="87"/>
      <c r="N134" s="55">
        <f t="shared" si="3"/>
        <v>0</v>
      </c>
      <c r="O134" s="85"/>
      <c r="P134" s="88" t="s">
        <v>257</v>
      </c>
    </row>
    <row r="135" spans="1:16" ht="14.45" x14ac:dyDescent="0.3">
      <c r="A135" s="34">
        <v>122.08808002222101</v>
      </c>
      <c r="B135" s="83">
        <v>158</v>
      </c>
      <c r="C135" s="89" t="str">
        <f>IF(ISERROR(VLOOKUP(B135,CLIENTES!A:B,2,0)),"",VLOOKUP(B135,CLIENTES!A:B,2,0))</f>
        <v>Pablo Dar</v>
      </c>
      <c r="D135" s="84" t="s">
        <v>229</v>
      </c>
      <c r="E135" s="55">
        <f>IF(ISERROR(VLOOKUP(D135,'Lista de Precio '!A:C,3,0)),"",VLOOKUP(D135,'Lista de Precio '!A:C,3,0))</f>
        <v>55</v>
      </c>
      <c r="F135" s="85">
        <v>45979</v>
      </c>
      <c r="G135" s="86">
        <v>30</v>
      </c>
      <c r="H135" s="86">
        <v>30</v>
      </c>
      <c r="I135" s="86"/>
      <c r="J135" s="87"/>
      <c r="K135" s="87"/>
      <c r="L135" s="87"/>
      <c r="M135" s="87"/>
      <c r="N135" s="55">
        <f t="shared" si="3"/>
        <v>-5</v>
      </c>
      <c r="O135" s="85"/>
      <c r="P135" s="88" t="s">
        <v>244</v>
      </c>
    </row>
    <row r="136" spans="1:16" ht="14.45" x14ac:dyDescent="0.3">
      <c r="A136" s="34">
        <v>123.000277854952</v>
      </c>
      <c r="B136" s="83">
        <v>159</v>
      </c>
      <c r="C136" s="54" t="str">
        <f>IF(ISERROR(VLOOKUP(B136,CLIENTES!A:B,2,0)),"",VLOOKUP(B136,CLIENTES!A:B,2,0))</f>
        <v>Victor Palencia</v>
      </c>
      <c r="D136" s="84" t="s">
        <v>10</v>
      </c>
      <c r="E136" s="55">
        <f>IF(ISERROR(VLOOKUP(D136,'Lista de Precio '!A:C,3,0)),"",VLOOKUP(D136,'Lista de Precio '!A:C,3,0))</f>
        <v>65</v>
      </c>
      <c r="F136" s="85">
        <v>45981</v>
      </c>
      <c r="G136" s="86">
        <v>30</v>
      </c>
      <c r="H136" s="86">
        <v>15</v>
      </c>
      <c r="I136" s="86"/>
      <c r="J136" s="87"/>
      <c r="K136" s="87"/>
      <c r="L136" s="87"/>
      <c r="M136" s="87"/>
      <c r="N136" s="55">
        <f t="shared" si="3"/>
        <v>20</v>
      </c>
      <c r="O136" s="85"/>
      <c r="P136" s="88" t="s">
        <v>260</v>
      </c>
    </row>
    <row r="137" spans="1:16" ht="14.45" x14ac:dyDescent="0.3">
      <c r="A137" s="34">
        <v>123.912475687683</v>
      </c>
      <c r="B137" s="83">
        <v>160</v>
      </c>
      <c r="C137" s="89" t="str">
        <f>IF(ISERROR(VLOOKUP(B137,CLIENTES!A:B,2,0)),"",VLOOKUP(B137,CLIENTES!A:B,2,0))</f>
        <v>Junior Rondon</v>
      </c>
      <c r="D137" s="84" t="s">
        <v>231</v>
      </c>
      <c r="E137" s="55">
        <f>IF(ISERROR(VLOOKUP(D137,'Lista de Precio '!A:C,3,0)),"",VLOOKUP(D137,'Lista de Precio '!A:C,3,0))</f>
        <v>50</v>
      </c>
      <c r="F137" s="85">
        <v>45981</v>
      </c>
      <c r="G137" s="86"/>
      <c r="H137" s="86"/>
      <c r="I137" s="86"/>
      <c r="J137" s="87"/>
      <c r="K137" s="87"/>
      <c r="L137" s="87"/>
      <c r="M137" s="87"/>
      <c r="N137" s="55">
        <f t="shared" si="3"/>
        <v>50</v>
      </c>
      <c r="O137" s="85"/>
      <c r="P137" s="88"/>
    </row>
    <row r="138" spans="1:16" ht="14.45" x14ac:dyDescent="0.3">
      <c r="A138" s="34">
        <v>124.824673520414</v>
      </c>
      <c r="B138" s="83">
        <v>136</v>
      </c>
      <c r="C138" s="54" t="str">
        <f>IF(ISERROR(VLOOKUP(B138,CLIENTES!A:B,2,0)),"",VLOOKUP(B138,CLIENTES!A:B,2,0))</f>
        <v>Luis Rivero</v>
      </c>
      <c r="D138" s="84" t="s">
        <v>229</v>
      </c>
      <c r="E138" s="55">
        <f>IF(ISERROR(VLOOKUP(D138,'Lista de Precio '!A:C,3,0)),"",VLOOKUP(D138,'Lista de Precio '!A:C,3,0))</f>
        <v>55</v>
      </c>
      <c r="F138" s="85">
        <v>45981</v>
      </c>
      <c r="G138" s="86">
        <v>23.34</v>
      </c>
      <c r="H138" s="86">
        <v>23.34</v>
      </c>
      <c r="I138" s="86">
        <v>23.94</v>
      </c>
      <c r="J138" s="87"/>
      <c r="K138" s="87"/>
      <c r="L138" s="87"/>
      <c r="M138" s="87"/>
      <c r="N138" s="55">
        <f t="shared" si="3"/>
        <v>-15.620000000000001</v>
      </c>
      <c r="O138" s="85"/>
      <c r="P138" s="88" t="s">
        <v>262</v>
      </c>
    </row>
    <row r="139" spans="1:16" ht="14.45" x14ac:dyDescent="0.3">
      <c r="A139" s="34">
        <v>125.73687135314501</v>
      </c>
      <c r="B139" s="83">
        <v>136</v>
      </c>
      <c r="C139" s="89" t="str">
        <f>IF(ISERROR(VLOOKUP(B139,CLIENTES!A:B,2,0)),"",VLOOKUP(B139,CLIENTES!A:B,2,0))</f>
        <v>Luis Rivero</v>
      </c>
      <c r="D139" s="84" t="s">
        <v>180</v>
      </c>
      <c r="E139" s="55">
        <f>IF(ISERROR(VLOOKUP(D139,'Lista de Precio '!A:C,3,0)),"",VLOOKUP(D139,'Lista de Precio '!A:C,3,0))</f>
        <v>60</v>
      </c>
      <c r="F139" s="85">
        <v>45981</v>
      </c>
      <c r="G139" s="86">
        <v>23.34</v>
      </c>
      <c r="H139" s="86">
        <v>23.33</v>
      </c>
      <c r="I139" s="86">
        <v>23.33</v>
      </c>
      <c r="J139" s="87"/>
      <c r="K139" s="87"/>
      <c r="L139" s="87"/>
      <c r="M139" s="87"/>
      <c r="N139" s="55">
        <f t="shared" si="3"/>
        <v>-10</v>
      </c>
      <c r="O139" s="85"/>
      <c r="P139" s="88" t="s">
        <v>263</v>
      </c>
    </row>
    <row r="140" spans="1:16" ht="14.45" x14ac:dyDescent="0.3">
      <c r="A140" s="34">
        <v>126.649069185876</v>
      </c>
      <c r="B140" s="83">
        <v>136</v>
      </c>
      <c r="C140" s="54" t="str">
        <f>IF(ISERROR(VLOOKUP(B140,CLIENTES!A:B,2,0)),"",VLOOKUP(B140,CLIENTES!A:B,2,0))</f>
        <v>Luis Rivero</v>
      </c>
      <c r="D140" s="84" t="s">
        <v>188</v>
      </c>
      <c r="E140" s="55">
        <f>IF(ISERROR(VLOOKUP(D140,'Lista de Precio '!A:C,3,0)),"",VLOOKUP(D140,'Lista de Precio '!A:C,3,0))</f>
        <v>45</v>
      </c>
      <c r="F140" s="85">
        <v>45981</v>
      </c>
      <c r="G140" s="86">
        <v>16.670000000000002</v>
      </c>
      <c r="H140" s="86">
        <v>16.86</v>
      </c>
      <c r="I140" s="86">
        <v>16.670000000000002</v>
      </c>
      <c r="J140" s="87"/>
      <c r="K140" s="87"/>
      <c r="L140" s="87"/>
      <c r="M140" s="87"/>
      <c r="N140" s="55">
        <f t="shared" si="3"/>
        <v>-5.2000000000000028</v>
      </c>
      <c r="O140" s="85"/>
      <c r="P140" s="88" t="s">
        <v>264</v>
      </c>
    </row>
    <row r="141" spans="1:16" ht="14.45" x14ac:dyDescent="0.3">
      <c r="A141" s="34">
        <v>127.561267018607</v>
      </c>
      <c r="B141" s="83">
        <v>136</v>
      </c>
      <c r="C141" s="54" t="str">
        <f>IF(ISERROR(VLOOKUP(B141,CLIENTES!A:B,2,0)),"",VLOOKUP(B141,CLIENTES!A:B,2,0))</f>
        <v>Luis Rivero</v>
      </c>
      <c r="D141" s="84" t="s">
        <v>201</v>
      </c>
      <c r="E141" s="55">
        <f>IF(ISERROR(VLOOKUP(D141,'Lista de Precio '!A:C,3,0)),"",VLOOKUP(D141,'Lista de Precio '!A:C,3,0))</f>
        <v>40</v>
      </c>
      <c r="F141" s="85">
        <v>45981</v>
      </c>
      <c r="G141" s="86">
        <v>16.670000000000002</v>
      </c>
      <c r="H141" s="86">
        <v>16.440000000000001</v>
      </c>
      <c r="I141" s="86">
        <v>6.89</v>
      </c>
      <c r="J141" s="87"/>
      <c r="K141" s="87"/>
      <c r="L141" s="87"/>
      <c r="M141" s="87"/>
      <c r="N141" s="55">
        <f t="shared" si="3"/>
        <v>-2.6645352591003757E-15</v>
      </c>
      <c r="O141" s="85"/>
      <c r="P141" s="88" t="s">
        <v>265</v>
      </c>
    </row>
    <row r="142" spans="1:16" ht="14.45" x14ac:dyDescent="0.3">
      <c r="A142" s="34">
        <v>128.47346485133801</v>
      </c>
      <c r="B142" s="38">
        <v>161</v>
      </c>
      <c r="C142" t="str">
        <f>IF(ISERROR(VLOOKUP(B142,CLIENTES!A:B,2,0)),"",VLOOKUP(B142,CLIENTES!A:B,2,0))</f>
        <v>Yarol Ocando</v>
      </c>
      <c r="D142" s="44" t="s">
        <v>202</v>
      </c>
      <c r="E142" s="45">
        <f>IF(ISERROR(VLOOKUP(D142,'Lista de Precio '!A:C,3,0)),"",VLOOKUP(D142,'Lista de Precio '!A:C,3,0))</f>
        <v>55</v>
      </c>
      <c r="F142" s="46">
        <v>45983</v>
      </c>
      <c r="G142" s="47">
        <v>20</v>
      </c>
      <c r="H142" s="47">
        <v>20</v>
      </c>
      <c r="I142" s="47">
        <v>10</v>
      </c>
      <c r="J142" s="48"/>
      <c r="K142" s="48"/>
      <c r="L142" s="48"/>
      <c r="M142" s="48"/>
      <c r="N142" s="45">
        <f t="shared" si="3"/>
        <v>5</v>
      </c>
      <c r="O142" s="46"/>
      <c r="P142" s="50" t="s">
        <v>267</v>
      </c>
    </row>
    <row r="143" spans="1:16" s="89" customFormat="1" ht="14.45" x14ac:dyDescent="0.3">
      <c r="A143" s="98">
        <v>129.38566268406899</v>
      </c>
      <c r="B143" s="83">
        <v>161</v>
      </c>
      <c r="C143" s="54" t="str">
        <f>IF(ISERROR(VLOOKUP(B143,CLIENTES!A:B,2,0)),"",VLOOKUP(B143,CLIENTES!A:B,2,0))</f>
        <v>Yarol Ocando</v>
      </c>
      <c r="D143" s="84" t="s">
        <v>185</v>
      </c>
      <c r="E143" s="55">
        <f>IF(ISERROR(VLOOKUP(D143,'Lista de Precio '!A:C,3,0)),"",VLOOKUP(D143,'Lista de Precio '!A:C,3,0))</f>
        <v>60</v>
      </c>
      <c r="F143" s="85">
        <v>45983</v>
      </c>
      <c r="G143" s="86">
        <v>24</v>
      </c>
      <c r="H143" s="86">
        <v>36</v>
      </c>
      <c r="I143" s="86"/>
      <c r="J143" s="87"/>
      <c r="K143" s="87"/>
      <c r="L143" s="87"/>
      <c r="M143" s="87"/>
      <c r="N143" s="55">
        <f t="shared" si="3"/>
        <v>0</v>
      </c>
      <c r="O143" s="85"/>
      <c r="P143" s="88" t="s">
        <v>267</v>
      </c>
    </row>
    <row r="144" spans="1:16" ht="14.45" x14ac:dyDescent="0.3">
      <c r="A144" s="34">
        <v>130.2978605168</v>
      </c>
      <c r="B144" s="83">
        <v>149</v>
      </c>
      <c r="C144" s="89" t="str">
        <f>IF(ISERROR(VLOOKUP(B144,CLIENTES!A:B,2,0)),"",VLOOKUP(B144,CLIENTES!A:B,2,0))</f>
        <v>Nikolay Parra</v>
      </c>
      <c r="D144" s="84" t="s">
        <v>230</v>
      </c>
      <c r="E144" s="55">
        <f>IF(ISERROR(VLOOKUP(D144,'Lista de Precio '!A:C,3,0)),"",VLOOKUP(D144,'Lista de Precio '!A:C,3,0))</f>
        <v>45</v>
      </c>
      <c r="F144" s="85">
        <v>45986</v>
      </c>
      <c r="G144" s="86">
        <v>45</v>
      </c>
      <c r="H144" s="86"/>
      <c r="I144" s="86"/>
      <c r="J144" s="87"/>
      <c r="K144" s="87"/>
      <c r="L144" s="87"/>
      <c r="M144" s="87"/>
      <c r="N144" s="55">
        <f t="shared" si="3"/>
        <v>0</v>
      </c>
      <c r="O144" s="85"/>
      <c r="P144" s="88" t="s">
        <v>345</v>
      </c>
    </row>
    <row r="145" spans="1:16" ht="14.45" x14ac:dyDescent="0.3">
      <c r="A145" s="34">
        <v>131.21005834953101</v>
      </c>
      <c r="B145" s="83">
        <v>149</v>
      </c>
      <c r="C145" s="54" t="str">
        <f>IF(ISERROR(VLOOKUP(B145,CLIENTES!A:B,2,0)),"",VLOOKUP(B145,CLIENTES!A:B,2,0))</f>
        <v>Nikolay Parra</v>
      </c>
      <c r="D145" s="84" t="s">
        <v>231</v>
      </c>
      <c r="E145" s="55">
        <f>IF(ISERROR(VLOOKUP(D145,'Lista de Precio '!A:C,3,0)),"",VLOOKUP(D145,'Lista de Precio '!A:C,3,0))</f>
        <v>50</v>
      </c>
      <c r="F145" s="85">
        <v>45986</v>
      </c>
      <c r="G145" s="86">
        <v>50</v>
      </c>
      <c r="H145" s="86"/>
      <c r="I145" s="86"/>
      <c r="J145" s="87"/>
      <c r="K145" s="87"/>
      <c r="L145" s="87"/>
      <c r="M145" s="87"/>
      <c r="N145" s="55">
        <f t="shared" si="3"/>
        <v>0</v>
      </c>
      <c r="O145" s="85"/>
      <c r="P145" s="88" t="s">
        <v>272</v>
      </c>
    </row>
    <row r="146" spans="1:16" ht="14.45" x14ac:dyDescent="0.3">
      <c r="A146" s="34">
        <v>132.12225618226199</v>
      </c>
      <c r="B146" s="83">
        <v>149</v>
      </c>
      <c r="C146" s="89" t="str">
        <f>IF(ISERROR(VLOOKUP(B146,CLIENTES!A:B,2,0)),"",VLOOKUP(B146,CLIENTES!A:B,2,0))</f>
        <v>Nikolay Parra</v>
      </c>
      <c r="D146" s="84" t="s">
        <v>186</v>
      </c>
      <c r="E146" s="55">
        <f>IF(ISERROR(VLOOKUP(D146,'Lista de Precio '!A:C,3,0)),"",VLOOKUP(D146,'Lista de Precio '!A:C,3,0))</f>
        <v>50</v>
      </c>
      <c r="F146" s="85">
        <v>45986</v>
      </c>
      <c r="G146" s="86">
        <v>50</v>
      </c>
      <c r="H146" s="86"/>
      <c r="I146" s="86"/>
      <c r="J146" s="87"/>
      <c r="K146" s="87"/>
      <c r="L146" s="87"/>
      <c r="M146" s="87"/>
      <c r="N146" s="55">
        <f t="shared" si="3"/>
        <v>0</v>
      </c>
      <c r="O146" s="85"/>
      <c r="P146" s="88" t="s">
        <v>268</v>
      </c>
    </row>
    <row r="147" spans="1:16" x14ac:dyDescent="0.25">
      <c r="A147" s="34">
        <v>133.034454014993</v>
      </c>
      <c r="B147" s="83">
        <v>149</v>
      </c>
      <c r="C147" s="54" t="str">
        <f>IF(ISERROR(VLOOKUP(B147,CLIENTES!A:B,2,0)),"",VLOOKUP(B147,CLIENTES!A:B,2,0))</f>
        <v>Nikolay Parra</v>
      </c>
      <c r="D147" s="84" t="s">
        <v>201</v>
      </c>
      <c r="E147" s="55">
        <f>IF(ISERROR(VLOOKUP(D147,'Lista de Precio '!A:C,3,0)),"",VLOOKUP(D147,'Lista de Precio '!A:C,3,0))</f>
        <v>40</v>
      </c>
      <c r="F147" s="85">
        <v>45986</v>
      </c>
      <c r="G147" s="86"/>
      <c r="H147" s="86"/>
      <c r="I147" s="86"/>
      <c r="J147" s="87"/>
      <c r="K147" s="87"/>
      <c r="L147" s="87"/>
      <c r="M147" s="87"/>
      <c r="N147" s="55">
        <f t="shared" si="3"/>
        <v>40</v>
      </c>
      <c r="O147" s="85"/>
      <c r="P147" s="88" t="s">
        <v>271</v>
      </c>
    </row>
    <row r="148" spans="1:16" ht="14.45" x14ac:dyDescent="0.3">
      <c r="A148" s="34">
        <v>133.94665184772401</v>
      </c>
      <c r="B148" s="83">
        <v>162</v>
      </c>
      <c r="C148" s="89" t="str">
        <f>IF(ISERROR(VLOOKUP(B148,CLIENTES!A:B,2,0)),"",VLOOKUP(B148,CLIENTES!A:B,2,0))</f>
        <v>Albert Uzcategui</v>
      </c>
      <c r="D148" s="84" t="s">
        <v>205</v>
      </c>
      <c r="E148" s="55">
        <f>IF(ISERROR(VLOOKUP(D148,'Lista de Precio '!A:C,3,0)),"",VLOOKUP(D148,'Lista de Precio '!A:C,3,0))</f>
        <v>60</v>
      </c>
      <c r="F148" s="85">
        <v>45986</v>
      </c>
      <c r="G148" s="86"/>
      <c r="H148" s="86"/>
      <c r="I148" s="86"/>
      <c r="J148" s="87"/>
      <c r="K148" s="87"/>
      <c r="L148" s="87"/>
      <c r="M148" s="87"/>
      <c r="N148" s="55">
        <f t="shared" si="3"/>
        <v>60</v>
      </c>
      <c r="O148" s="85"/>
      <c r="P148" s="88"/>
    </row>
    <row r="149" spans="1:16" ht="14.45" x14ac:dyDescent="0.3">
      <c r="A149" s="34">
        <v>134.85884968045499</v>
      </c>
      <c r="B149" s="83">
        <v>162</v>
      </c>
      <c r="C149" s="54" t="str">
        <f>IF(ISERROR(VLOOKUP(B149,CLIENTES!A:B,2,0)),"",VLOOKUP(B149,CLIENTES!A:B,2,0))</f>
        <v>Albert Uzcategui</v>
      </c>
      <c r="D149" s="84" t="s">
        <v>225</v>
      </c>
      <c r="E149" s="55">
        <f>IF(ISERROR(VLOOKUP(D149,'Lista de Precio '!A:C,3,0)),"",VLOOKUP(D149,'Lista de Precio '!A:C,3,0))</f>
        <v>15</v>
      </c>
      <c r="F149" s="85">
        <v>45986</v>
      </c>
      <c r="G149" s="86"/>
      <c r="H149" s="86"/>
      <c r="I149" s="86"/>
      <c r="J149" s="87"/>
      <c r="K149" s="87"/>
      <c r="L149" s="87"/>
      <c r="M149" s="87"/>
      <c r="N149" s="55">
        <f t="shared" si="3"/>
        <v>15</v>
      </c>
      <c r="O149" s="85"/>
      <c r="P149" s="88"/>
    </row>
    <row r="150" spans="1:16" x14ac:dyDescent="0.25">
      <c r="A150" s="34">
        <v>135.77104751318601</v>
      </c>
      <c r="B150" s="83">
        <v>121</v>
      </c>
      <c r="C150" s="89" t="str">
        <f>IF(ISERROR(VLOOKUP(B150,CLIENTES!A:B,2,0)),"",VLOOKUP(B150,CLIENTES!A:B,2,0))</f>
        <v>Grise Hidromaticos</v>
      </c>
      <c r="D150" s="84" t="s">
        <v>10</v>
      </c>
      <c r="E150" s="55">
        <f>IF(ISERROR(VLOOKUP(D150,'Lista de Precio '!A:C,3,0)),"",VLOOKUP(D150,'Lista de Precio '!A:C,3,0))</f>
        <v>65</v>
      </c>
      <c r="F150" s="85">
        <v>45986</v>
      </c>
      <c r="G150" s="86">
        <v>20</v>
      </c>
      <c r="H150" s="86">
        <v>40</v>
      </c>
      <c r="I150" s="86"/>
      <c r="J150" s="87"/>
      <c r="K150" s="87"/>
      <c r="L150" s="87"/>
      <c r="M150" s="87"/>
      <c r="N150" s="55">
        <f t="shared" si="3"/>
        <v>5</v>
      </c>
      <c r="O150" s="85"/>
      <c r="P150" s="88"/>
    </row>
    <row r="151" spans="1:16" x14ac:dyDescent="0.25">
      <c r="A151" s="34">
        <v>136.68324534591699</v>
      </c>
      <c r="B151" s="83">
        <v>121</v>
      </c>
      <c r="C151" s="54" t="str">
        <f>IF(ISERROR(VLOOKUP(B151,CLIENTES!A:B,2,0)),"",VLOOKUP(B151,CLIENTES!A:B,2,0))</f>
        <v>Grise Hidromaticos</v>
      </c>
      <c r="D151" s="84" t="s">
        <v>211</v>
      </c>
      <c r="E151" s="55">
        <f>IF(ISERROR(VLOOKUP(D151,'Lista de Precio '!A:C,3,0)),"",VLOOKUP(D151,'Lista de Precio '!A:C,3,0))</f>
        <v>20</v>
      </c>
      <c r="F151" s="85">
        <v>45986</v>
      </c>
      <c r="G151" s="86"/>
      <c r="H151" s="86"/>
      <c r="I151" s="86"/>
      <c r="J151" s="87"/>
      <c r="K151" s="87"/>
      <c r="L151" s="87"/>
      <c r="M151" s="87"/>
      <c r="N151" s="55">
        <f t="shared" si="3"/>
        <v>20</v>
      </c>
      <c r="O151" s="85"/>
      <c r="P151" s="88"/>
    </row>
    <row r="152" spans="1:16" ht="14.45" x14ac:dyDescent="0.3">
      <c r="A152" s="34">
        <v>137.595443178648</v>
      </c>
      <c r="B152" s="150">
        <v>120</v>
      </c>
      <c r="C152" s="159" t="str">
        <f>IF(ISERROR(VLOOKUP(B152,CLIENTES!A:B,2,0)),"",VLOOKUP(B152,CLIENTES!A:B,2,0))</f>
        <v>Junior Hidromaticos</v>
      </c>
      <c r="D152" s="152" t="s">
        <v>179</v>
      </c>
      <c r="E152" s="157">
        <f>IF(ISERROR(VLOOKUP(D152,'Lista de Precio '!A:C,3,0)),"",VLOOKUP(D152,'Lista de Precio '!A:C,3,0))</f>
        <v>55</v>
      </c>
      <c r="F152" s="154">
        <v>45986</v>
      </c>
      <c r="G152" s="155">
        <v>55</v>
      </c>
      <c r="H152" s="155"/>
      <c r="I152" s="155"/>
      <c r="J152" s="156"/>
      <c r="K152" s="156"/>
      <c r="L152" s="156"/>
      <c r="M152" s="156"/>
      <c r="N152" s="157">
        <f t="shared" si="3"/>
        <v>0</v>
      </c>
      <c r="O152" s="154"/>
      <c r="P152" s="158" t="s">
        <v>267</v>
      </c>
    </row>
    <row r="153" spans="1:16" ht="14.45" x14ac:dyDescent="0.3">
      <c r="A153" s="34">
        <v>138.50764101137901</v>
      </c>
      <c r="B153" s="167">
        <v>120</v>
      </c>
      <c r="C153" s="168" t="str">
        <f>IF(ISERROR(VLOOKUP(B153,CLIENTES!A:B,2,0)),"",VLOOKUP(B153,CLIENTES!A:B,2,0))</f>
        <v>Junior Hidromaticos</v>
      </c>
      <c r="D153" s="169" t="s">
        <v>221</v>
      </c>
      <c r="E153" s="170">
        <f>IF(ISERROR(VLOOKUP(D153,'Lista de Precio '!A:C,3,0)),"",VLOOKUP(D153,'Lista de Precio '!A:C,3,0))</f>
        <v>15</v>
      </c>
      <c r="F153" s="171">
        <v>45986</v>
      </c>
      <c r="G153" s="172">
        <v>15</v>
      </c>
      <c r="H153" s="172"/>
      <c r="I153" s="172"/>
      <c r="J153" s="173"/>
      <c r="K153" s="173"/>
      <c r="L153" s="173"/>
      <c r="M153" s="173"/>
      <c r="N153" s="170">
        <f t="shared" si="3"/>
        <v>0</v>
      </c>
      <c r="O153" s="171"/>
      <c r="P153" s="49"/>
    </row>
    <row r="154" spans="1:16" ht="14.45" x14ac:dyDescent="0.3">
      <c r="A154" s="34">
        <v>139.41983884410999</v>
      </c>
      <c r="B154" s="83">
        <v>145</v>
      </c>
      <c r="C154" s="89" t="str">
        <f>IF(ISERROR(VLOOKUP(B154,CLIENTES!A:B,2,0)),"",VLOOKUP(B154,CLIENTES!A:B,2,0))</f>
        <v xml:space="preserve">Abrahan Andres Contreras </v>
      </c>
      <c r="D154" s="84" t="s">
        <v>207</v>
      </c>
      <c r="E154" s="55">
        <f>IF(ISERROR(VLOOKUP(D154,'Lista de Precio '!A:C,3,0)),"",VLOOKUP(D154,'Lista de Precio '!A:C,3,0))</f>
        <v>60</v>
      </c>
      <c r="F154" s="85">
        <v>45980</v>
      </c>
      <c r="G154" s="86">
        <v>20</v>
      </c>
      <c r="H154" s="86">
        <v>20</v>
      </c>
      <c r="I154" s="86">
        <v>20</v>
      </c>
      <c r="J154" s="87"/>
      <c r="K154" s="87"/>
      <c r="L154" s="87"/>
      <c r="M154" s="87"/>
      <c r="N154" s="55">
        <f t="shared" si="3"/>
        <v>0</v>
      </c>
      <c r="O154" s="85"/>
      <c r="P154" s="88"/>
    </row>
    <row r="155" spans="1:16" ht="14.45" x14ac:dyDescent="0.3">
      <c r="A155" s="34">
        <v>140.332036676841</v>
      </c>
      <c r="B155" s="83">
        <v>136</v>
      </c>
      <c r="C155" s="54" t="str">
        <f>IF(ISERROR(VLOOKUP(B155,CLIENTES!A:B,2,0)),"",VLOOKUP(B155,CLIENTES!A:B,2,0))</f>
        <v>Luis Rivero</v>
      </c>
      <c r="D155" s="84" t="s">
        <v>207</v>
      </c>
      <c r="E155" s="55">
        <f>IF(ISERROR(VLOOKUP(D155,'Lista de Precio '!A:C,3,0)),"",VLOOKUP(D155,'Lista de Precio '!A:C,3,0))</f>
        <v>60</v>
      </c>
      <c r="F155" s="85">
        <v>45981</v>
      </c>
      <c r="G155" s="86">
        <v>22.34</v>
      </c>
      <c r="H155" s="86">
        <v>22.34</v>
      </c>
      <c r="I155" s="86">
        <v>22.34</v>
      </c>
      <c r="J155" s="87"/>
      <c r="K155" s="87"/>
      <c r="L155" s="87"/>
      <c r="M155" s="87"/>
      <c r="N155" s="55">
        <f t="shared" si="3"/>
        <v>-7.0200000000000031</v>
      </c>
      <c r="O155" s="85"/>
      <c r="P155" s="88" t="s">
        <v>278</v>
      </c>
    </row>
    <row r="156" spans="1:16" ht="14.45" x14ac:dyDescent="0.3">
      <c r="A156" s="34">
        <v>141.24423450957201</v>
      </c>
      <c r="B156" s="174">
        <v>136</v>
      </c>
      <c r="C156" s="175" t="str">
        <f>IF(ISERROR(VLOOKUP(B156,CLIENTES!A:B,2,0)),"",VLOOKUP(B156,CLIENTES!A:B,2,0))</f>
        <v>Luis Rivero</v>
      </c>
      <c r="D156" s="176" t="s">
        <v>205</v>
      </c>
      <c r="E156" s="177">
        <f>IF(ISERROR(VLOOKUP(D156,'Lista de Precio '!A:C,3,0)),"",VLOOKUP(D156,'Lista de Precio '!A:C,3,0))</f>
        <v>60</v>
      </c>
      <c r="F156" s="178">
        <v>45981</v>
      </c>
      <c r="G156" s="179">
        <v>16.75</v>
      </c>
      <c r="H156" s="179">
        <v>16.75</v>
      </c>
      <c r="I156" s="179">
        <v>16.75</v>
      </c>
      <c r="J156" s="180">
        <v>9.75</v>
      </c>
      <c r="K156" s="180"/>
      <c r="L156" s="180"/>
      <c r="M156" s="180"/>
      <c r="N156" s="177">
        <f t="shared" si="3"/>
        <v>0</v>
      </c>
      <c r="O156" s="178"/>
      <c r="P156" s="181" t="s">
        <v>279</v>
      </c>
    </row>
    <row r="157" spans="1:16" x14ac:dyDescent="0.25">
      <c r="A157" s="34">
        <v>143.068630175034</v>
      </c>
      <c r="B157" s="83">
        <v>149</v>
      </c>
      <c r="C157" s="89" t="str">
        <f>IF(ISERROR(VLOOKUP(B157,CLIENTES!A:B,2,0)),"",VLOOKUP(B157,CLIENTES!A:B,2,0))</f>
        <v>Nikolay Parra</v>
      </c>
      <c r="D157" s="84" t="s">
        <v>214</v>
      </c>
      <c r="E157" s="55">
        <f>IF(ISERROR(VLOOKUP(D157,'Lista de Precio '!A:C,3,0)),"",VLOOKUP(D157,'Lista de Precio '!A:C,3,0))</f>
        <v>20</v>
      </c>
      <c r="F157" s="85">
        <v>45986</v>
      </c>
      <c r="G157" s="86"/>
      <c r="H157" s="86"/>
      <c r="I157" s="86"/>
      <c r="J157" s="87"/>
      <c r="K157" s="87"/>
      <c r="L157" s="87"/>
      <c r="M157" s="87"/>
      <c r="N157" s="55">
        <f t="shared" si="3"/>
        <v>20</v>
      </c>
      <c r="O157" s="85"/>
      <c r="P157" s="88"/>
    </row>
    <row r="158" spans="1:16" x14ac:dyDescent="0.25">
      <c r="A158" s="34">
        <v>143.98082800776501</v>
      </c>
      <c r="B158" s="83">
        <v>149</v>
      </c>
      <c r="C158" s="54" t="str">
        <f>IF(ISERROR(VLOOKUP(B158,CLIENTES!A:B,2,0)),"",VLOOKUP(B158,CLIENTES!A:B,2,0))</f>
        <v>Nikolay Parra</v>
      </c>
      <c r="D158" s="84" t="s">
        <v>218</v>
      </c>
      <c r="E158" s="55">
        <f>IF(ISERROR(VLOOKUP(D158,'Lista de Precio '!A:C,3,0)),"",VLOOKUP(D158,'Lista de Precio '!A:C,3,0))</f>
        <v>20</v>
      </c>
      <c r="F158" s="85">
        <v>45986</v>
      </c>
      <c r="G158" s="86" t="s">
        <v>174</v>
      </c>
      <c r="H158" s="86"/>
      <c r="I158" s="86"/>
      <c r="J158" s="87"/>
      <c r="K158" s="87"/>
      <c r="L158" s="87"/>
      <c r="M158" s="87"/>
      <c r="N158" s="55">
        <v>20</v>
      </c>
      <c r="O158" s="85"/>
      <c r="P158" s="88"/>
    </row>
    <row r="159" spans="1:16" ht="14.45" x14ac:dyDescent="0.3">
      <c r="A159" s="34">
        <v>144.89302584049599</v>
      </c>
      <c r="B159" s="38">
        <v>163</v>
      </c>
      <c r="C159" t="str">
        <f>IF(ISERROR(VLOOKUP(B159,CLIENTES!A:B,2,0)),"",VLOOKUP(B159,CLIENTES!A:B,2,0))</f>
        <v>Fernando Albarran</v>
      </c>
      <c r="D159" s="44" t="s">
        <v>36</v>
      </c>
      <c r="E159" s="45">
        <f>IF(ISERROR(VLOOKUP(D159,'Lista de Precio '!A:C,3,0)),"",VLOOKUP(D159,'Lista de Precio '!A:C,3,0))</f>
        <v>40</v>
      </c>
      <c r="F159" s="46">
        <v>45992</v>
      </c>
      <c r="G159" s="47"/>
      <c r="H159" s="47"/>
      <c r="I159" s="47"/>
      <c r="J159" s="48"/>
      <c r="K159" s="48"/>
      <c r="L159" s="48"/>
      <c r="M159" s="48"/>
      <c r="N159" s="45">
        <f t="shared" si="3"/>
        <v>40</v>
      </c>
      <c r="O159" s="46"/>
      <c r="P159" s="50"/>
    </row>
    <row r="160" spans="1:16" ht="14.45" x14ac:dyDescent="0.3">
      <c r="A160" s="34">
        <v>145.805223673227</v>
      </c>
      <c r="B160" s="37">
        <v>146</v>
      </c>
      <c r="C160" s="20" t="str">
        <f>IF(ISERROR(VLOOKUP(B160,CLIENTES!A:B,2,0)),"",VLOOKUP(B160,CLIENTES!A:B,2,0))</f>
        <v>Alvaro Tomassi</v>
      </c>
      <c r="D160" s="39" t="s">
        <v>285</v>
      </c>
      <c r="E160" s="21">
        <f>IF(ISERROR(VLOOKUP(D160,'Lista de Precio '!A:C,3,0)),"",VLOOKUP(D160,'Lista de Precio '!A:C,3,0))</f>
        <v>60</v>
      </c>
      <c r="F160" s="40">
        <v>46002</v>
      </c>
      <c r="G160" s="41"/>
      <c r="H160" s="41"/>
      <c r="I160" s="41"/>
      <c r="J160" s="42"/>
      <c r="K160" s="42"/>
      <c r="L160" s="42"/>
      <c r="M160" s="42"/>
      <c r="N160" s="45">
        <f t="shared" si="3"/>
        <v>60</v>
      </c>
      <c r="O160" s="40"/>
      <c r="P160" s="49" t="s">
        <v>178</v>
      </c>
    </row>
    <row r="161" spans="1:16" ht="14.45" x14ac:dyDescent="0.3">
      <c r="A161" s="34">
        <v>146.71742150595799</v>
      </c>
      <c r="B161" s="38">
        <v>146</v>
      </c>
      <c r="C161" t="str">
        <f>IF(ISERROR(VLOOKUP(B161,CLIENTES!A:B,2,0)),"",VLOOKUP(B161,CLIENTES!A:B,2,0))</f>
        <v>Alvaro Tomassi</v>
      </c>
      <c r="D161" s="44" t="s">
        <v>53</v>
      </c>
      <c r="E161" s="45">
        <f>IF(ISERROR(VLOOKUP(D161,'Lista de Precio '!A:C,3,0)),"",VLOOKUP(D161,'Lista de Precio '!A:C,3,0))</f>
        <v>45</v>
      </c>
      <c r="F161" s="46">
        <v>46002</v>
      </c>
      <c r="G161" s="47"/>
      <c r="H161" s="47"/>
      <c r="I161" s="47"/>
      <c r="J161" s="48"/>
      <c r="K161" s="48"/>
      <c r="L161" s="48"/>
      <c r="M161" s="48"/>
      <c r="N161" s="45">
        <f t="shared" si="3"/>
        <v>45</v>
      </c>
      <c r="O161" s="46"/>
      <c r="P161" s="50" t="s">
        <v>287</v>
      </c>
    </row>
    <row r="162" spans="1:16" x14ac:dyDescent="0.25">
      <c r="A162" s="34">
        <v>147.629619338689</v>
      </c>
      <c r="B162" s="83">
        <v>137</v>
      </c>
      <c r="C162" s="54" t="str">
        <f>IF(ISERROR(VLOOKUP(B162,CLIENTES!A:B,2,0)),"",VLOOKUP(B162,CLIENTES!A:B,2,0))</f>
        <v>Diana Ardila</v>
      </c>
      <c r="D162" s="84" t="s">
        <v>212</v>
      </c>
      <c r="E162" s="55">
        <f>IF(ISERROR(VLOOKUP(D162,'Lista de Precio '!A:C,3,0)),"",VLOOKUP(D162,'Lista de Precio '!A:C,3,0))</f>
        <v>20</v>
      </c>
      <c r="F162" s="85">
        <v>46001</v>
      </c>
      <c r="G162" s="86">
        <v>20</v>
      </c>
      <c r="H162" s="86"/>
      <c r="I162" s="86"/>
      <c r="J162" s="87"/>
      <c r="K162" s="87"/>
      <c r="L162" s="87"/>
      <c r="M162" s="87"/>
      <c r="N162" s="55">
        <f t="shared" si="3"/>
        <v>0</v>
      </c>
      <c r="O162" s="85"/>
      <c r="P162" s="88"/>
    </row>
    <row r="163" spans="1:16" x14ac:dyDescent="0.25">
      <c r="A163" s="34">
        <v>148.54181717142001</v>
      </c>
      <c r="B163" s="83">
        <v>137</v>
      </c>
      <c r="C163" s="89" t="str">
        <f>IF(ISERROR(VLOOKUP(B163,CLIENTES!A:B,2,0)),"",VLOOKUP(B163,CLIENTES!A:B,2,0))</f>
        <v>Diana Ardila</v>
      </c>
      <c r="D163" s="84" t="s">
        <v>203</v>
      </c>
      <c r="E163" s="55">
        <f>IF(ISERROR(VLOOKUP(D163,'Lista de Precio '!A:C,3,0)),"",VLOOKUP(D163,'Lista de Precio '!A:C,3,0))</f>
        <v>60</v>
      </c>
      <c r="F163" s="85">
        <v>46001</v>
      </c>
      <c r="G163" s="86">
        <v>10</v>
      </c>
      <c r="H163" s="86">
        <v>10</v>
      </c>
      <c r="I163" s="86">
        <v>20</v>
      </c>
      <c r="J163" s="87">
        <v>20</v>
      </c>
      <c r="K163" s="87"/>
      <c r="L163" s="87"/>
      <c r="M163" s="87"/>
      <c r="N163" s="55">
        <f t="shared" si="3"/>
        <v>0</v>
      </c>
      <c r="O163" s="85"/>
      <c r="P163" s="88"/>
    </row>
    <row r="164" spans="1:16" ht="14.45" x14ac:dyDescent="0.3">
      <c r="A164" s="34"/>
      <c r="B164" s="206" t="s">
        <v>351</v>
      </c>
      <c r="C164" s="207"/>
      <c r="D164" s="207"/>
      <c r="E164" s="207"/>
      <c r="F164" s="207"/>
      <c r="G164" s="207"/>
      <c r="H164" s="207"/>
      <c r="I164" s="207"/>
      <c r="J164" s="207"/>
      <c r="K164" s="207"/>
      <c r="L164" s="207"/>
      <c r="M164" s="207"/>
      <c r="N164" s="207"/>
      <c r="O164" s="207"/>
      <c r="P164" s="208"/>
    </row>
    <row r="165" spans="1:16" ht="14.45" x14ac:dyDescent="0.3">
      <c r="A165" s="34">
        <v>149.45401500415099</v>
      </c>
      <c r="B165" s="83">
        <v>164</v>
      </c>
      <c r="C165" s="54" t="str">
        <f>IF(ISERROR(VLOOKUP(B165,CLIENTES!A:B,2,0)),"",VLOOKUP(B165,CLIENTES!A:B,2,0))</f>
        <v>Humberto Aranda</v>
      </c>
      <c r="D165" s="84" t="s">
        <v>201</v>
      </c>
      <c r="E165" s="55">
        <f>IF(ISERROR(VLOOKUP(D165,'Lista de Precio '!A:C,3,0)),"",VLOOKUP(D165,'Lista de Precio '!A:C,3,0))</f>
        <v>40</v>
      </c>
      <c r="F165" s="85">
        <v>46010</v>
      </c>
      <c r="G165" s="86">
        <v>20</v>
      </c>
      <c r="H165" s="86">
        <v>20</v>
      </c>
      <c r="I165" s="86"/>
      <c r="J165" s="87"/>
      <c r="K165" s="87"/>
      <c r="L165" s="87"/>
      <c r="M165" s="87"/>
      <c r="N165" s="55">
        <f t="shared" si="3"/>
        <v>0</v>
      </c>
      <c r="O165" s="85"/>
      <c r="P165" s="88" t="s">
        <v>347</v>
      </c>
    </row>
    <row r="166" spans="1:16" ht="14.45" x14ac:dyDescent="0.3">
      <c r="A166" s="34">
        <v>150.366212836882</v>
      </c>
      <c r="B166" s="83">
        <v>148</v>
      </c>
      <c r="C166" s="89" t="str">
        <f>IF(ISERROR(VLOOKUP(B166,CLIENTES!A:B,2,0)),"",VLOOKUP(B166,CLIENTES!A:B,2,0))</f>
        <v>Jair Hidromaticos</v>
      </c>
      <c r="D166" s="84" t="s">
        <v>10</v>
      </c>
      <c r="E166" s="55">
        <f>IF(ISERROR(VLOOKUP(D166,'Lista de Precio '!A:C,3,0)),"",VLOOKUP(D166,'Lista de Precio '!A:C,3,0))</f>
        <v>65</v>
      </c>
      <c r="F166" s="85">
        <v>46008</v>
      </c>
      <c r="G166" s="86">
        <v>40</v>
      </c>
      <c r="H166" s="86">
        <v>25</v>
      </c>
      <c r="I166" s="86"/>
      <c r="J166" s="87"/>
      <c r="K166" s="87"/>
      <c r="L166" s="87"/>
      <c r="M166" s="87"/>
      <c r="N166" s="55">
        <f t="shared" si="3"/>
        <v>0</v>
      </c>
      <c r="O166" s="85"/>
      <c r="P166" s="88" t="s">
        <v>348</v>
      </c>
    </row>
    <row r="167" spans="1:16" x14ac:dyDescent="0.25">
      <c r="A167" s="34">
        <v>151.27841066961301</v>
      </c>
      <c r="B167" s="83">
        <v>121</v>
      </c>
      <c r="C167" s="54" t="str">
        <f>IF(ISERROR(VLOOKUP(B167,CLIENTES!A:B,2,0)),"",VLOOKUP(B167,CLIENTES!A:B,2,0))</f>
        <v>Grise Hidromaticos</v>
      </c>
      <c r="D167" s="84" t="s">
        <v>51</v>
      </c>
      <c r="E167" s="55">
        <f>IF(ISERROR(VLOOKUP(D167,'Lista de Precio '!A:C,3,0)),"",VLOOKUP(D167,'Lista de Precio '!A:C,3,0))</f>
        <v>45</v>
      </c>
      <c r="F167" s="85">
        <v>46008</v>
      </c>
      <c r="G167" s="86">
        <v>40</v>
      </c>
      <c r="H167" s="86"/>
      <c r="I167" s="86"/>
      <c r="J167" s="87"/>
      <c r="K167" s="87"/>
      <c r="L167" s="87"/>
      <c r="M167" s="87"/>
      <c r="N167" s="55">
        <f t="shared" si="3"/>
        <v>5</v>
      </c>
      <c r="O167" s="85"/>
      <c r="P167" s="88" t="s">
        <v>349</v>
      </c>
    </row>
    <row r="168" spans="1:16" ht="14.45" x14ac:dyDescent="0.3">
      <c r="A168" s="34">
        <v>152.19060850234399</v>
      </c>
      <c r="B168" s="38">
        <v>119</v>
      </c>
      <c r="C168" t="str">
        <f>IF(ISERROR(VLOOKUP(B168,CLIENTES!A:B,2,0)),"",VLOOKUP(B168,CLIENTES!A:B,2,0))</f>
        <v>Hector Hidromaticos</v>
      </c>
      <c r="D168" s="44" t="s">
        <v>229</v>
      </c>
      <c r="E168" s="45">
        <f>IF(ISERROR(VLOOKUP(D168,'Lista de Precio '!A:C,3,0)),"",VLOOKUP(D168,'Lista de Precio '!A:C,3,0))</f>
        <v>55</v>
      </c>
      <c r="F168" s="46">
        <v>46008</v>
      </c>
      <c r="G168" s="47"/>
      <c r="H168" s="47"/>
      <c r="I168" s="47"/>
      <c r="J168" s="48"/>
      <c r="K168" s="48"/>
      <c r="L168" s="48"/>
      <c r="M168" s="48"/>
      <c r="N168" s="45">
        <f t="shared" si="3"/>
        <v>55</v>
      </c>
      <c r="O168" s="46"/>
      <c r="P168" s="50" t="s">
        <v>348</v>
      </c>
    </row>
    <row r="169" spans="1:16" ht="14.45" x14ac:dyDescent="0.3">
      <c r="A169" s="34">
        <v>153.102806335075</v>
      </c>
      <c r="B169" s="37">
        <v>119</v>
      </c>
      <c r="C169" s="20" t="str">
        <f>IF(ISERROR(VLOOKUP(B169,CLIENTES!A:B,2,0)),"",VLOOKUP(B169,CLIENTES!A:B,2,0))</f>
        <v>Hector Hidromaticos</v>
      </c>
      <c r="D169" s="39" t="s">
        <v>321</v>
      </c>
      <c r="E169" s="21">
        <f>IF(ISERROR(VLOOKUP(D169,'Lista de Precio '!A:C,3,0)),"",VLOOKUP(D169,'Lista de Precio '!A:C,3,0))</f>
        <v>60</v>
      </c>
      <c r="F169" s="40">
        <v>46008</v>
      </c>
      <c r="G169" s="41"/>
      <c r="H169" s="41"/>
      <c r="I169" s="41"/>
      <c r="J169" s="42"/>
      <c r="K169" s="42"/>
      <c r="L169" s="42"/>
      <c r="M169" s="42"/>
      <c r="N169" s="21">
        <f t="shared" si="3"/>
        <v>60</v>
      </c>
      <c r="O169" s="40"/>
      <c r="P169" s="49" t="s">
        <v>348</v>
      </c>
    </row>
    <row r="170" spans="1:16" ht="14.45" x14ac:dyDescent="0.3">
      <c r="A170" s="34">
        <v>154.01500416780601</v>
      </c>
      <c r="B170" s="38">
        <v>119</v>
      </c>
      <c r="C170" t="str">
        <f>IF(ISERROR(VLOOKUP(B170,CLIENTES!A:B,2,0)),"",VLOOKUP(B170,CLIENTES!A:B,2,0))</f>
        <v>Hector Hidromaticos</v>
      </c>
      <c r="D170" s="44" t="s">
        <v>293</v>
      </c>
      <c r="E170" s="45">
        <f>IF(ISERROR(VLOOKUP(D170,'Lista de Precio '!A:C,3,0)),"",VLOOKUP(D170,'Lista de Precio '!A:C,3,0))</f>
        <v>70</v>
      </c>
      <c r="F170" s="46">
        <v>46008</v>
      </c>
      <c r="G170" s="47"/>
      <c r="H170" s="47"/>
      <c r="I170" s="47"/>
      <c r="J170" s="48"/>
      <c r="K170" s="48"/>
      <c r="L170" s="48"/>
      <c r="M170" s="48"/>
      <c r="N170" s="45">
        <f t="shared" si="3"/>
        <v>70</v>
      </c>
      <c r="O170" s="46"/>
      <c r="P170" s="50" t="s">
        <v>350</v>
      </c>
    </row>
    <row r="171" spans="1:16" ht="14.45" x14ac:dyDescent="0.3">
      <c r="A171" s="34">
        <v>154.92720200053699</v>
      </c>
      <c r="B171" s="37">
        <v>119</v>
      </c>
      <c r="C171" s="20" t="str">
        <f>IF(ISERROR(VLOOKUP(B171,CLIENTES!A:B,2,0)),"",VLOOKUP(B171,CLIENTES!A:B,2,0))</f>
        <v>Hector Hidromaticos</v>
      </c>
      <c r="D171" s="39" t="s">
        <v>179</v>
      </c>
      <c r="E171" s="21">
        <f>IF(ISERROR(VLOOKUP(D171,'Lista de Precio '!A:C,3,0)),"",VLOOKUP(D171,'Lista de Precio '!A:C,3,0))</f>
        <v>55</v>
      </c>
      <c r="F171" s="40">
        <v>46008</v>
      </c>
      <c r="G171" s="41"/>
      <c r="H171" s="41"/>
      <c r="I171" s="41"/>
      <c r="J171" s="42"/>
      <c r="K171" s="42"/>
      <c r="L171" s="42"/>
      <c r="M171" s="42"/>
      <c r="N171" s="21">
        <f t="shared" si="3"/>
        <v>55</v>
      </c>
      <c r="O171" s="40"/>
      <c r="P171" s="49" t="s">
        <v>348</v>
      </c>
    </row>
    <row r="172" spans="1:16" ht="14.45" x14ac:dyDescent="0.3">
      <c r="A172" s="34">
        <v>155.839399833268</v>
      </c>
      <c r="B172" s="38">
        <v>119</v>
      </c>
      <c r="C172" t="str">
        <f>IF(ISERROR(VLOOKUP(B172,CLIENTES!A:B,2,0)),"",VLOOKUP(B172,CLIENTES!A:B,2,0))</f>
        <v>Hector Hidromaticos</v>
      </c>
      <c r="D172" s="44" t="s">
        <v>41</v>
      </c>
      <c r="E172" s="45">
        <f>IF(ISERROR(VLOOKUP(D172,'Lista de Precio '!A:C,3,0)),"",VLOOKUP(D172,'Lista de Precio '!A:C,3,0))</f>
        <v>55</v>
      </c>
      <c r="F172" s="46">
        <v>46008</v>
      </c>
      <c r="G172" s="47"/>
      <c r="H172" s="47"/>
      <c r="I172" s="47"/>
      <c r="J172" s="48"/>
      <c r="K172" s="48"/>
      <c r="L172" s="48"/>
      <c r="M172" s="48"/>
      <c r="N172" s="45">
        <f t="shared" si="3"/>
        <v>55</v>
      </c>
      <c r="O172" s="46"/>
      <c r="P172" s="50" t="s">
        <v>348</v>
      </c>
    </row>
    <row r="173" spans="1:16" ht="14.45" x14ac:dyDescent="0.3">
      <c r="A173" s="34">
        <v>156.75159766599899</v>
      </c>
      <c r="B173" s="37">
        <v>119</v>
      </c>
      <c r="C173" s="20" t="str">
        <f>IF(ISERROR(VLOOKUP(B173,CLIENTES!A:B,2,0)),"",VLOOKUP(B173,CLIENTES!A:B,2,0))</f>
        <v>Hector Hidromaticos</v>
      </c>
      <c r="D173" s="39" t="s">
        <v>182</v>
      </c>
      <c r="E173" s="21">
        <f>IF(ISERROR(VLOOKUP(D173,'Lista de Precio '!A:C,3,0)),"",VLOOKUP(D173,'Lista de Precio '!A:C,3,0))</f>
        <v>60</v>
      </c>
      <c r="F173" s="40">
        <v>46008</v>
      </c>
      <c r="G173" s="41"/>
      <c r="H173" s="41"/>
      <c r="I173" s="41"/>
      <c r="J173" s="42"/>
      <c r="K173" s="42"/>
      <c r="L173" s="42"/>
      <c r="M173" s="42"/>
      <c r="N173" s="21">
        <f t="shared" si="3"/>
        <v>60</v>
      </c>
      <c r="O173" s="40"/>
      <c r="P173" s="49" t="s">
        <v>348</v>
      </c>
    </row>
    <row r="174" spans="1:16" ht="14.45" x14ac:dyDescent="0.3">
      <c r="A174" s="34">
        <v>157.66379549873</v>
      </c>
      <c r="B174" s="83">
        <v>130</v>
      </c>
      <c r="C174" s="89" t="str">
        <f>IF(ISERROR(VLOOKUP(B174,CLIENTES!A:B,2,0)),"",VLOOKUP(B174,CLIENTES!A:B,2,0))</f>
        <v>Maria de los Angueles Peña</v>
      </c>
      <c r="D174" s="84" t="s">
        <v>210</v>
      </c>
      <c r="E174" s="55">
        <f>IF(ISERROR(VLOOKUP(D174,'Lista de Precio '!A:C,3,0)),"",VLOOKUP(D174,'Lista de Precio '!A:C,3,0))</f>
        <v>20</v>
      </c>
      <c r="F174" s="85">
        <v>46012</v>
      </c>
      <c r="G174" s="86">
        <v>20</v>
      </c>
      <c r="H174" s="86"/>
      <c r="I174" s="86"/>
      <c r="J174" s="87"/>
      <c r="K174" s="87"/>
      <c r="L174" s="87"/>
      <c r="M174" s="87"/>
      <c r="N174" s="55">
        <f t="shared" si="3"/>
        <v>0</v>
      </c>
      <c r="O174" s="85"/>
      <c r="P174" s="88"/>
    </row>
    <row r="175" spans="1:16" ht="14.45" x14ac:dyDescent="0.3">
      <c r="A175" s="34">
        <v>158.57599333146101</v>
      </c>
      <c r="B175" s="83">
        <v>130</v>
      </c>
      <c r="C175" s="54" t="str">
        <f>IF(ISERROR(VLOOKUP(B175,CLIENTES!A:B,2,0)),"",VLOOKUP(B175,CLIENTES!A:B,2,0))</f>
        <v>Maria de los Angueles Peña</v>
      </c>
      <c r="D175" s="84" t="s">
        <v>42</v>
      </c>
      <c r="E175" s="55">
        <f>IF(ISERROR(VLOOKUP(D175,'Lista de Precio '!A:C,3,0)),"",VLOOKUP(D175,'Lista de Precio '!A:C,3,0))</f>
        <v>55</v>
      </c>
      <c r="F175" s="85">
        <v>46012</v>
      </c>
      <c r="G175" s="86">
        <v>30</v>
      </c>
      <c r="H175" s="86">
        <v>25</v>
      </c>
      <c r="I175" s="86"/>
      <c r="J175" s="87"/>
      <c r="K175" s="87"/>
      <c r="L175" s="87"/>
      <c r="M175" s="87"/>
      <c r="N175" s="55">
        <f t="shared" si="3"/>
        <v>0</v>
      </c>
      <c r="O175" s="85"/>
      <c r="P175" s="88" t="s">
        <v>348</v>
      </c>
    </row>
    <row r="176" spans="1:16" ht="14.45" x14ac:dyDescent="0.3">
      <c r="A176" s="34">
        <v>159.48819116419199</v>
      </c>
      <c r="B176" s="83">
        <v>122</v>
      </c>
      <c r="C176" s="89" t="str">
        <f>IF(ISERROR(VLOOKUP(B176,CLIENTES!A:B,2,0)),"",VLOOKUP(B176,CLIENTES!A:B,2,0))</f>
        <v>Yeni Peña</v>
      </c>
      <c r="D176" s="84" t="s">
        <v>304</v>
      </c>
      <c r="E176" s="55">
        <f>IF(ISERROR(VLOOKUP(D176,'Lista de Precio '!A:C,3,0)),"",VLOOKUP(D176,'Lista de Precio '!A:C,3,0))</f>
        <v>80</v>
      </c>
      <c r="F176" s="85">
        <v>46006</v>
      </c>
      <c r="G176" s="86">
        <v>20</v>
      </c>
      <c r="H176" s="86">
        <v>20</v>
      </c>
      <c r="I176" s="86">
        <v>10</v>
      </c>
      <c r="J176" s="87">
        <v>30</v>
      </c>
      <c r="K176" s="87"/>
      <c r="L176" s="87"/>
      <c r="M176" s="87"/>
      <c r="N176" s="55">
        <f t="shared" si="3"/>
        <v>0</v>
      </c>
      <c r="O176" s="85"/>
      <c r="P176" s="88"/>
    </row>
    <row r="177" spans="1:16" ht="14.45" x14ac:dyDescent="0.3">
      <c r="A177" s="34">
        <v>160.400388996923</v>
      </c>
      <c r="B177" s="83">
        <v>136</v>
      </c>
      <c r="C177" s="54" t="str">
        <f>IF(ISERROR(VLOOKUP(B177,CLIENTES!A:B,2,0)),"",VLOOKUP(B177,CLIENTES!A:B,2,0))</f>
        <v>Luis Rivero</v>
      </c>
      <c r="D177" s="84" t="s">
        <v>314</v>
      </c>
      <c r="E177" s="55">
        <f>IF(ISERROR(VLOOKUP(D177,'Lista de Precio '!A:C,3,0)),"",VLOOKUP(D177,'Lista de Precio '!A:C,3,0))</f>
        <v>60</v>
      </c>
      <c r="F177" s="85">
        <v>46015</v>
      </c>
      <c r="G177" s="86">
        <v>60</v>
      </c>
      <c r="H177" s="86"/>
      <c r="I177" s="86"/>
      <c r="J177" s="87"/>
      <c r="K177" s="87"/>
      <c r="L177" s="87"/>
      <c r="M177" s="87"/>
      <c r="N177" s="55">
        <f t="shared" si="3"/>
        <v>0</v>
      </c>
      <c r="O177" s="85"/>
      <c r="P177" s="88" t="s">
        <v>355</v>
      </c>
    </row>
    <row r="178" spans="1:16" ht="14.45" x14ac:dyDescent="0.3">
      <c r="A178" s="34">
        <v>161.31258682965401</v>
      </c>
      <c r="B178" s="83">
        <v>136</v>
      </c>
      <c r="C178" s="89" t="str">
        <f>IF(ISERROR(VLOOKUP(B178,CLIENTES!A:B,2,0)),"",VLOOKUP(B178,CLIENTES!A:B,2,0))</f>
        <v>Luis Rivero</v>
      </c>
      <c r="D178" s="84" t="s">
        <v>323</v>
      </c>
      <c r="E178" s="55">
        <v>40</v>
      </c>
      <c r="F178" s="85">
        <v>46015</v>
      </c>
      <c r="G178" s="86">
        <v>40</v>
      </c>
      <c r="H178" s="86"/>
      <c r="I178" s="86"/>
      <c r="J178" s="87"/>
      <c r="K178" s="87"/>
      <c r="L178" s="87"/>
      <c r="M178" s="87"/>
      <c r="N178" s="55">
        <f t="shared" si="3"/>
        <v>0</v>
      </c>
      <c r="O178" s="85"/>
      <c r="P178" s="88" t="s">
        <v>401</v>
      </c>
    </row>
    <row r="179" spans="1:16" ht="14.45" x14ac:dyDescent="0.3">
      <c r="A179" s="34">
        <v>162.22478466238499</v>
      </c>
      <c r="B179" s="83">
        <v>143</v>
      </c>
      <c r="C179" s="54" t="str">
        <f>IF(ISERROR(VLOOKUP(B179,CLIENTES!A:B,2,0)),"",VLOOKUP(B179,CLIENTES!A:B,2,0))</f>
        <v>Jean Molina</v>
      </c>
      <c r="D179" s="84" t="s">
        <v>179</v>
      </c>
      <c r="E179" s="55">
        <f>IF(ISERROR(VLOOKUP(D179,'Lista de Precio '!A:C,3,0)),"",VLOOKUP(D179,'Lista de Precio '!A:C,3,0))</f>
        <v>55</v>
      </c>
      <c r="F179" s="85">
        <v>46014</v>
      </c>
      <c r="G179" s="86">
        <v>55</v>
      </c>
      <c r="H179" s="86"/>
      <c r="I179" s="86"/>
      <c r="J179" s="87"/>
      <c r="K179" s="87"/>
      <c r="L179" s="87"/>
      <c r="M179" s="87"/>
      <c r="N179" s="55">
        <f t="shared" ref="N179:N183" si="4">IF(D179="","",E179-G179-H179-I179-J179)</f>
        <v>0</v>
      </c>
      <c r="O179" s="85"/>
      <c r="P179" s="88"/>
    </row>
    <row r="180" spans="1:16" ht="14.45" x14ac:dyDescent="0.3">
      <c r="A180" s="34">
        <v>163.136982495116</v>
      </c>
      <c r="B180" s="83">
        <v>143</v>
      </c>
      <c r="C180" s="89" t="str">
        <f>IF(ISERROR(VLOOKUP(B180,CLIENTES!A:B,2,0)),"",VLOOKUP(B180,CLIENTES!A:B,2,0))</f>
        <v>Jean Molina</v>
      </c>
      <c r="D180" s="84" t="s">
        <v>314</v>
      </c>
      <c r="E180" s="55">
        <f>IF(ISERROR(VLOOKUP(D180,'Lista de Precio '!A:C,3,0)),"",VLOOKUP(D180,'Lista de Precio '!A:C,3,0))</f>
        <v>60</v>
      </c>
      <c r="F180" s="85">
        <v>46014</v>
      </c>
      <c r="G180" s="86">
        <v>20</v>
      </c>
      <c r="H180" s="86"/>
      <c r="I180" s="86"/>
      <c r="J180" s="87"/>
      <c r="K180" s="87"/>
      <c r="L180" s="87"/>
      <c r="M180" s="87"/>
      <c r="N180" s="55">
        <f t="shared" si="4"/>
        <v>40</v>
      </c>
      <c r="O180" s="85"/>
      <c r="P180" s="88"/>
    </row>
    <row r="181" spans="1:16" ht="14.45" x14ac:dyDescent="0.3">
      <c r="A181" s="34">
        <v>164.04918032784701</v>
      </c>
      <c r="B181" s="83">
        <v>143</v>
      </c>
      <c r="C181" s="54" t="str">
        <f>IF(ISERROR(VLOOKUP(B181,CLIENTES!A:B,2,0)),"",VLOOKUP(B181,CLIENTES!A:B,2,0))</f>
        <v>Jean Molina</v>
      </c>
      <c r="D181" s="84" t="s">
        <v>186</v>
      </c>
      <c r="E181" s="55">
        <f>IF(ISERROR(VLOOKUP(D181,'Lista de Precio '!A:C,3,0)),"",VLOOKUP(D181,'Lista de Precio '!A:C,3,0))</f>
        <v>50</v>
      </c>
      <c r="F181" s="85">
        <v>46014</v>
      </c>
      <c r="G181" s="86">
        <v>50</v>
      </c>
      <c r="H181" s="86"/>
      <c r="I181" s="86"/>
      <c r="J181" s="87"/>
      <c r="K181" s="87"/>
      <c r="L181" s="87"/>
      <c r="M181" s="87"/>
      <c r="N181" s="55">
        <f t="shared" si="4"/>
        <v>0</v>
      </c>
      <c r="O181" s="85"/>
      <c r="P181" s="88"/>
    </row>
    <row r="182" spans="1:16" ht="14.45" x14ac:dyDescent="0.3">
      <c r="A182" s="34">
        <v>164.96137816057799</v>
      </c>
      <c r="B182" s="83">
        <v>165</v>
      </c>
      <c r="C182" s="89" t="str">
        <f>IF(ISERROR(VLOOKUP(B182,CLIENTES!A:B,2,0)),"",VLOOKUP(B182,CLIENTES!A:B,2,0))</f>
        <v>Valentina Tribunal</v>
      </c>
      <c r="D182" s="84" t="s">
        <v>21</v>
      </c>
      <c r="E182" s="55">
        <f>IF(ISERROR(VLOOKUP(D182,'Lista de Precio '!A:C,3,0)),"",VLOOKUP(D182,'Lista de Precio '!A:C,3,0))</f>
        <v>55</v>
      </c>
      <c r="F182" s="85">
        <v>46017</v>
      </c>
      <c r="G182" s="86">
        <v>20</v>
      </c>
      <c r="H182" s="86">
        <v>35</v>
      </c>
      <c r="I182" s="86"/>
      <c r="J182" s="87"/>
      <c r="K182" s="87"/>
      <c r="L182" s="87"/>
      <c r="M182" s="87"/>
      <c r="N182" s="55">
        <f t="shared" si="4"/>
        <v>0</v>
      </c>
      <c r="O182" s="85"/>
      <c r="P182" s="88"/>
    </row>
    <row r="183" spans="1:16" x14ac:dyDescent="0.25">
      <c r="A183" s="34">
        <v>165.873575993309</v>
      </c>
      <c r="B183" s="83">
        <v>165</v>
      </c>
      <c r="C183" s="54" t="str">
        <f>IF(ISERROR(VLOOKUP(B183,CLIENTES!A:B,2,0)),"",VLOOKUP(B183,CLIENTES!A:B,2,0))</f>
        <v>Valentina Tribunal</v>
      </c>
      <c r="D183" s="84" t="s">
        <v>203</v>
      </c>
      <c r="E183" s="55">
        <f>IF(ISERROR(VLOOKUP(D183,'Lista de Precio '!A:C,3,0)),"",VLOOKUP(D183,'Lista de Precio '!A:C,3,0))</f>
        <v>60</v>
      </c>
      <c r="F183" s="85">
        <v>46017</v>
      </c>
      <c r="G183" s="86">
        <v>50</v>
      </c>
      <c r="H183" s="86">
        <v>10</v>
      </c>
      <c r="I183" s="86"/>
      <c r="J183" s="87"/>
      <c r="K183" s="87"/>
      <c r="L183" s="87"/>
      <c r="M183" s="87"/>
      <c r="N183" s="55">
        <f t="shared" si="4"/>
        <v>0</v>
      </c>
      <c r="O183" s="85"/>
      <c r="P183" s="88"/>
    </row>
    <row r="184" spans="1:16" x14ac:dyDescent="0.25">
      <c r="A184" s="34">
        <v>166.78577382604001</v>
      </c>
      <c r="B184" s="83">
        <v>165</v>
      </c>
      <c r="C184" s="89" t="str">
        <f>IF(ISERROR(VLOOKUP(B184,CLIENTES!A:B,2,0)),"",VLOOKUP(B184,CLIENTES!A:B,2,0))</f>
        <v>Valentina Tribunal</v>
      </c>
      <c r="D184" s="84" t="s">
        <v>29</v>
      </c>
      <c r="E184" s="55">
        <v>40</v>
      </c>
      <c r="F184" s="85">
        <v>46017</v>
      </c>
      <c r="G184" s="86">
        <v>20</v>
      </c>
      <c r="H184" s="86"/>
      <c r="I184" s="86"/>
      <c r="J184" s="87"/>
      <c r="K184" s="87"/>
      <c r="L184" s="87"/>
      <c r="M184" s="87"/>
      <c r="N184" s="55">
        <f t="shared" ref="N184:N194" si="5">IF(D184="","",E184-G184-H184-I184-J184)</f>
        <v>20</v>
      </c>
      <c r="O184" s="85"/>
      <c r="P184" s="88"/>
    </row>
    <row r="185" spans="1:16" x14ac:dyDescent="0.25">
      <c r="A185" s="34">
        <v>167.697971658771</v>
      </c>
      <c r="B185" s="83">
        <v>165</v>
      </c>
      <c r="C185" s="54" t="str">
        <f>IF(ISERROR(VLOOKUP(B185,CLIENTES!A:B,2,0)),"",VLOOKUP(B185,CLIENTES!A:B,2,0))</f>
        <v>Valentina Tribunal</v>
      </c>
      <c r="D185" s="84" t="s">
        <v>306</v>
      </c>
      <c r="E185" s="55">
        <v>20</v>
      </c>
      <c r="F185" s="85">
        <v>46017</v>
      </c>
      <c r="G185" s="86">
        <v>20</v>
      </c>
      <c r="H185" s="86"/>
      <c r="I185" s="86"/>
      <c r="J185" s="87"/>
      <c r="K185" s="87"/>
      <c r="L185" s="87"/>
      <c r="M185" s="87"/>
      <c r="N185" s="55">
        <f t="shared" si="5"/>
        <v>0</v>
      </c>
      <c r="O185" s="85"/>
      <c r="P185" s="88"/>
    </row>
    <row r="186" spans="1:16" x14ac:dyDescent="0.25">
      <c r="A186" s="34">
        <v>168.61016949150201</v>
      </c>
      <c r="B186" s="83">
        <v>150</v>
      </c>
      <c r="C186" s="89" t="str">
        <f>IF(ISERROR(VLOOKUP(B186,CLIENTES!A:B,2,0)),"",VLOOKUP(B186,CLIENTES!A:B,2,0))</f>
        <v>Andreina</v>
      </c>
      <c r="D186" s="84" t="s">
        <v>10</v>
      </c>
      <c r="E186" s="55">
        <f>IF(ISERROR(VLOOKUP(D186,'Lista de Precio '!A:C,3,0)),"",VLOOKUP(D186,'Lista de Precio '!A:C,3,0))</f>
        <v>65</v>
      </c>
      <c r="F186" s="85">
        <v>46019</v>
      </c>
      <c r="G186" s="86">
        <v>20</v>
      </c>
      <c r="H186" s="86">
        <v>25</v>
      </c>
      <c r="I186" s="86">
        <v>25</v>
      </c>
      <c r="J186" s="87"/>
      <c r="K186" s="87"/>
      <c r="L186" s="87"/>
      <c r="M186" s="87"/>
      <c r="N186" s="55">
        <f t="shared" si="5"/>
        <v>-5</v>
      </c>
      <c r="O186" s="85"/>
      <c r="P186" s="88" t="s">
        <v>260</v>
      </c>
    </row>
    <row r="187" spans="1:16" x14ac:dyDescent="0.25">
      <c r="A187" s="34">
        <v>169.52236732423299</v>
      </c>
      <c r="B187" s="83">
        <v>150</v>
      </c>
      <c r="C187" s="54" t="str">
        <f>IF(ISERROR(VLOOKUP(B187,CLIENTES!A:B,2,0)),"",VLOOKUP(B187,CLIENTES!A:B,2,0))</f>
        <v>Andreina</v>
      </c>
      <c r="D187" s="84" t="s">
        <v>182</v>
      </c>
      <c r="E187" s="55">
        <f>IF(ISERROR(VLOOKUP(D187,'Lista de Precio '!A:C,3,0)),"",VLOOKUP(D187,'Lista de Precio '!A:C,3,0))</f>
        <v>60</v>
      </c>
      <c r="F187" s="85">
        <v>46019</v>
      </c>
      <c r="G187" s="86">
        <v>10</v>
      </c>
      <c r="H187" s="86">
        <v>10</v>
      </c>
      <c r="I187" s="86">
        <v>10</v>
      </c>
      <c r="J187" s="87">
        <v>10</v>
      </c>
      <c r="K187" s="87">
        <v>25</v>
      </c>
      <c r="L187" s="87"/>
      <c r="M187" s="87"/>
      <c r="N187" s="55">
        <f t="shared" si="5"/>
        <v>20</v>
      </c>
      <c r="O187" s="85"/>
      <c r="P187" s="88" t="s">
        <v>348</v>
      </c>
    </row>
    <row r="188" spans="1:16" ht="14.45" x14ac:dyDescent="0.3">
      <c r="A188" s="34">
        <v>170.434565156964</v>
      </c>
      <c r="B188" s="38">
        <v>150</v>
      </c>
      <c r="C188" t="str">
        <f>IF(ISERROR(VLOOKUP(B188,CLIENTES!A:B,2,0)),"",VLOOKUP(B188,CLIENTES!A:B,2,0))</f>
        <v>Andreina</v>
      </c>
      <c r="D188" s="44" t="s">
        <v>28</v>
      </c>
      <c r="E188" s="45">
        <f>IF(ISERROR(VLOOKUP(D188,'Lista de Precio '!A:C,3,0)),"",VLOOKUP(D188,'Lista de Precio '!A:C,3,0))</f>
        <v>45</v>
      </c>
      <c r="F188" s="46">
        <v>46019</v>
      </c>
      <c r="G188" s="47">
        <v>5</v>
      </c>
      <c r="H188" s="47">
        <v>25</v>
      </c>
      <c r="I188" s="47"/>
      <c r="J188" s="48"/>
      <c r="K188" s="48"/>
      <c r="L188" s="48"/>
      <c r="M188" s="48"/>
      <c r="N188" s="45">
        <f t="shared" si="5"/>
        <v>15</v>
      </c>
      <c r="O188" s="46"/>
      <c r="P188" s="50"/>
    </row>
    <row r="189" spans="1:16" ht="14.45" x14ac:dyDescent="0.3">
      <c r="A189" s="34">
        <v>171.34676298969501</v>
      </c>
      <c r="B189" s="182">
        <v>150</v>
      </c>
      <c r="C189" s="183" t="str">
        <f>IF(ISERROR(VLOOKUP(B189,CLIENTES!A:B,2,0)),"",VLOOKUP(B189,CLIENTES!A:B,2,0))</f>
        <v>Andreina</v>
      </c>
      <c r="D189" s="184" t="s">
        <v>29</v>
      </c>
      <c r="E189" s="185">
        <f>IF(ISERROR(VLOOKUP(D189,'Lista de Precio '!A:C,3,0)),"",VLOOKUP(D189,'Lista de Precio '!A:C,3,0))</f>
        <v>45</v>
      </c>
      <c r="F189" s="186">
        <v>46019</v>
      </c>
      <c r="G189" s="187"/>
      <c r="H189" s="187"/>
      <c r="I189" s="187"/>
      <c r="J189" s="188"/>
      <c r="K189" s="188"/>
      <c r="L189" s="188"/>
      <c r="M189" s="188"/>
      <c r="N189" s="185">
        <f t="shared" si="5"/>
        <v>45</v>
      </c>
      <c r="O189" s="186"/>
      <c r="P189" s="189"/>
    </row>
    <row r="190" spans="1:16" x14ac:dyDescent="0.25">
      <c r="A190" s="34">
        <v>172.25896082242599</v>
      </c>
      <c r="B190" s="83">
        <v>150</v>
      </c>
      <c r="C190" s="89" t="str">
        <f>IF(ISERROR(VLOOKUP(B190,CLIENTES!A:B,2,0)),"",VLOOKUP(B190,CLIENTES!A:B,2,0))</f>
        <v>Andreina</v>
      </c>
      <c r="D190" s="84" t="s">
        <v>314</v>
      </c>
      <c r="E190" s="55">
        <f>IF(ISERROR(VLOOKUP(D190,'Lista de Precio '!A:C,3,0)),"",VLOOKUP(D190,'Lista de Precio '!A:C,3,0))</f>
        <v>60</v>
      </c>
      <c r="F190" s="85">
        <v>46019</v>
      </c>
      <c r="G190" s="86">
        <v>36.5</v>
      </c>
      <c r="H190" s="86">
        <v>10</v>
      </c>
      <c r="I190" s="86">
        <v>13.5</v>
      </c>
      <c r="J190" s="87"/>
      <c r="K190" s="87"/>
      <c r="L190" s="87"/>
      <c r="M190" s="87"/>
      <c r="N190" s="55">
        <f t="shared" si="5"/>
        <v>0</v>
      </c>
      <c r="O190" s="85"/>
      <c r="P190" s="88"/>
    </row>
    <row r="191" spans="1:16" x14ac:dyDescent="0.25">
      <c r="A191" s="34">
        <v>173.171158655157</v>
      </c>
      <c r="B191" s="83">
        <v>150</v>
      </c>
      <c r="C191" s="54" t="str">
        <f>IF(ISERROR(VLOOKUP(B191,CLIENTES!A:B,2,0)),"",VLOOKUP(B191,CLIENTES!A:B,2,0))</f>
        <v>Andreina</v>
      </c>
      <c r="D191" s="84" t="s">
        <v>314</v>
      </c>
      <c r="E191" s="55">
        <f>IF(ISERROR(VLOOKUP(D191,'Lista de Precio '!A:C,3,0)),"",VLOOKUP(D191,'Lista de Precio '!A:C,3,0))</f>
        <v>60</v>
      </c>
      <c r="F191" s="85">
        <v>46019</v>
      </c>
      <c r="G191" s="86">
        <v>40</v>
      </c>
      <c r="H191" s="86">
        <v>20</v>
      </c>
      <c r="I191" s="86"/>
      <c r="J191" s="87"/>
      <c r="K191" s="87"/>
      <c r="L191" s="87"/>
      <c r="M191" s="87"/>
      <c r="N191" s="55">
        <f t="shared" si="5"/>
        <v>0</v>
      </c>
      <c r="O191" s="85"/>
      <c r="P191" s="88"/>
    </row>
    <row r="192" spans="1:16" x14ac:dyDescent="0.25">
      <c r="A192" s="34">
        <v>174.08335648788801</v>
      </c>
      <c r="B192" s="83">
        <v>150</v>
      </c>
      <c r="C192" s="89" t="str">
        <f>IF(ISERROR(VLOOKUP(B192,CLIENTES!A:B,2,0)),"",VLOOKUP(B192,CLIENTES!A:B,2,0))</f>
        <v>Andreina</v>
      </c>
      <c r="D192" s="84" t="s">
        <v>327</v>
      </c>
      <c r="E192" s="55">
        <f>IF(ISERROR(VLOOKUP(D192,'Lista de Precio '!A:C,3,0)),"",VLOOKUP(D192,'Lista de Precio '!A:C,3,0))</f>
        <v>60</v>
      </c>
      <c r="F192" s="85">
        <v>46019</v>
      </c>
      <c r="G192" s="86">
        <v>35</v>
      </c>
      <c r="H192" s="86">
        <v>30</v>
      </c>
      <c r="I192" s="86"/>
      <c r="J192" s="87"/>
      <c r="K192" s="87"/>
      <c r="L192" s="87"/>
      <c r="M192" s="87"/>
      <c r="N192" s="55">
        <f t="shared" si="5"/>
        <v>-5</v>
      </c>
      <c r="O192" s="85"/>
      <c r="P192" s="88"/>
    </row>
    <row r="193" spans="1:16" ht="14.45" x14ac:dyDescent="0.3">
      <c r="A193" s="34">
        <v>174.99555432061899</v>
      </c>
      <c r="B193" s="39">
        <v>150</v>
      </c>
      <c r="C193" s="20" t="str">
        <f>IF(ISERROR(VLOOKUP(B193,CLIENTES!A:B,2,0)),"",VLOOKUP(B193,CLIENTES!A:B,2,0))</f>
        <v>Andreina</v>
      </c>
      <c r="D193" s="39" t="s">
        <v>328</v>
      </c>
      <c r="E193" s="21">
        <v>65</v>
      </c>
      <c r="F193" s="40">
        <v>46019</v>
      </c>
      <c r="G193" s="41">
        <v>20</v>
      </c>
      <c r="H193" s="41">
        <v>15</v>
      </c>
      <c r="I193" s="41"/>
      <c r="J193" s="41"/>
      <c r="K193" s="41"/>
      <c r="L193" s="41"/>
      <c r="M193" s="41"/>
      <c r="N193" s="21">
        <f t="shared" si="5"/>
        <v>30</v>
      </c>
      <c r="O193" s="40"/>
      <c r="P193" s="39"/>
    </row>
    <row r="194" spans="1:16" x14ac:dyDescent="0.25">
      <c r="A194" s="34">
        <v>175.90775215335</v>
      </c>
      <c r="B194" s="84">
        <v>150</v>
      </c>
      <c r="C194" s="89" t="str">
        <f>IF(ISERROR(VLOOKUP(B194,CLIENTES!A:B,2,0)),"",VLOOKUP(B194,CLIENTES!A:B,2,0))</f>
        <v>Andreina</v>
      </c>
      <c r="D194" s="84" t="s">
        <v>200</v>
      </c>
      <c r="E194" s="55">
        <f>IF(ISERROR(VLOOKUP(D194,'Lista de Precio '!A:C,3,0)),"",VLOOKUP(D194,'Lista de Precio '!A:C,3,0))</f>
        <v>65</v>
      </c>
      <c r="F194" s="85">
        <v>46019</v>
      </c>
      <c r="G194" s="86">
        <v>25</v>
      </c>
      <c r="H194" s="86">
        <v>20</v>
      </c>
      <c r="I194" s="86">
        <v>20</v>
      </c>
      <c r="J194" s="86"/>
      <c r="K194" s="86"/>
      <c r="L194" s="86"/>
      <c r="M194" s="86"/>
      <c r="N194" s="55">
        <f t="shared" si="5"/>
        <v>0</v>
      </c>
      <c r="O194" s="85"/>
      <c r="P194" s="84"/>
    </row>
    <row r="195" spans="1:16" x14ac:dyDescent="0.25">
      <c r="A195" s="34">
        <v>176.81994998608101</v>
      </c>
      <c r="B195" s="84">
        <v>150</v>
      </c>
      <c r="C195" s="54" t="str">
        <f>IF(ISERROR(VLOOKUP(B195,CLIENTES!A:B,2,0)),"",VLOOKUP(B195,CLIENTES!A:B,2,0))</f>
        <v>Andreina</v>
      </c>
      <c r="D195" s="84" t="s">
        <v>182</v>
      </c>
      <c r="E195" s="55">
        <v>65</v>
      </c>
      <c r="F195" s="85">
        <v>46019</v>
      </c>
      <c r="G195" s="86">
        <v>15</v>
      </c>
      <c r="H195" s="86">
        <v>30</v>
      </c>
      <c r="I195" s="86">
        <v>25</v>
      </c>
      <c r="J195" s="86"/>
      <c r="K195" s="86"/>
      <c r="L195" s="86"/>
      <c r="M195" s="86"/>
      <c r="N195" s="55">
        <f t="shared" ref="N195:N211" si="6">IF(D195="","",E195-G195-H195-I195-J195)</f>
        <v>-5</v>
      </c>
      <c r="O195" s="85"/>
      <c r="P195" s="84"/>
    </row>
    <row r="196" spans="1:16" x14ac:dyDescent="0.25">
      <c r="A196" s="34">
        <v>177.732147818812</v>
      </c>
      <c r="B196" s="84">
        <v>131</v>
      </c>
      <c r="C196" s="89" t="str">
        <f>IF(ISERROR(VLOOKUP(B196,CLIENTES!A:B,2,0)),"",VLOOKUP(B196,CLIENTES!A:B,2,0))</f>
        <v>Michell Mendez</v>
      </c>
      <c r="D196" s="84" t="s">
        <v>229</v>
      </c>
      <c r="E196" s="55">
        <v>60</v>
      </c>
      <c r="F196" s="85">
        <v>46019</v>
      </c>
      <c r="G196" s="86">
        <v>10</v>
      </c>
      <c r="H196" s="86">
        <v>10</v>
      </c>
      <c r="I196" s="86">
        <v>10</v>
      </c>
      <c r="J196" s="86"/>
      <c r="K196" s="86"/>
      <c r="L196" s="86"/>
      <c r="M196" s="86"/>
      <c r="N196" s="55">
        <f t="shared" si="6"/>
        <v>30</v>
      </c>
      <c r="O196" s="85"/>
      <c r="P196" s="84"/>
    </row>
    <row r="197" spans="1:16" ht="14.45" x14ac:dyDescent="0.3">
      <c r="A197" s="34">
        <v>178.64434565154301</v>
      </c>
      <c r="B197" s="39">
        <v>150</v>
      </c>
      <c r="C197" s="20" t="str">
        <f>IF(ISERROR(VLOOKUP(B197,CLIENTES!A:B,2,0)),"",VLOOKUP(B197,CLIENTES!A:B,2,0))</f>
        <v>Andreina</v>
      </c>
      <c r="D197" s="39" t="s">
        <v>182</v>
      </c>
      <c r="E197" s="21">
        <v>65</v>
      </c>
      <c r="F197" s="40">
        <v>46019</v>
      </c>
      <c r="G197" s="41"/>
      <c r="H197" s="41"/>
      <c r="I197" s="41"/>
      <c r="J197" s="41"/>
      <c r="K197" s="41"/>
      <c r="L197" s="41"/>
      <c r="M197" s="41"/>
      <c r="N197" s="21">
        <f t="shared" si="6"/>
        <v>65</v>
      </c>
      <c r="O197" s="40"/>
      <c r="P197" s="39"/>
    </row>
    <row r="198" spans="1:16" ht="14.45" x14ac:dyDescent="0.3">
      <c r="A198" s="34">
        <v>179.55654348427399</v>
      </c>
      <c r="B198" s="84">
        <v>103</v>
      </c>
      <c r="C198" s="89" t="str">
        <f>IF(ISERROR(VLOOKUP(B198,CLIENTES!A:B,2,0)),"",VLOOKUP(B198,CLIENTES!A:B,2,0))</f>
        <v xml:space="preserve">Wenrit Corro </v>
      </c>
      <c r="D198" s="84" t="s">
        <v>314</v>
      </c>
      <c r="E198" s="55">
        <v>70</v>
      </c>
      <c r="F198" s="85">
        <v>46021</v>
      </c>
      <c r="G198" s="86">
        <v>30</v>
      </c>
      <c r="H198" s="86">
        <v>40</v>
      </c>
      <c r="I198" s="86"/>
      <c r="J198" s="86"/>
      <c r="K198" s="86"/>
      <c r="L198" s="86"/>
      <c r="M198" s="86"/>
      <c r="N198" s="55">
        <f t="shared" si="6"/>
        <v>0</v>
      </c>
      <c r="O198" s="85"/>
      <c r="P198" s="84" t="s">
        <v>359</v>
      </c>
    </row>
    <row r="199" spans="1:16" x14ac:dyDescent="0.25">
      <c r="A199" s="34">
        <v>180.468741317005</v>
      </c>
      <c r="B199" s="84">
        <v>161</v>
      </c>
      <c r="C199" s="54" t="str">
        <f>IF(ISERROR(VLOOKUP(B199,CLIENTES!A:B,2,0)),"",VLOOKUP(B199,CLIENTES!A:B,2,0))</f>
        <v>Yarol Ocando</v>
      </c>
      <c r="D199" s="84" t="s">
        <v>229</v>
      </c>
      <c r="E199" s="55">
        <v>60</v>
      </c>
      <c r="F199" s="85">
        <v>46019</v>
      </c>
      <c r="G199" s="86"/>
      <c r="H199" s="86"/>
      <c r="I199" s="86"/>
      <c r="J199" s="86"/>
      <c r="K199" s="86"/>
      <c r="L199" s="86"/>
      <c r="M199" s="86"/>
      <c r="N199" s="55">
        <f t="shared" si="6"/>
        <v>60</v>
      </c>
      <c r="O199" s="85"/>
      <c r="P199" s="84"/>
    </row>
    <row r="200" spans="1:16" ht="14.45" x14ac:dyDescent="0.3">
      <c r="A200" s="34">
        <v>181.38093914973601</v>
      </c>
      <c r="B200" s="44">
        <v>162</v>
      </c>
      <c r="C200" t="str">
        <f>IF(ISERROR(VLOOKUP(B200,CLIENTES!A:B,2,0)),"",VLOOKUP(B200,CLIENTES!A:B,2,0))</f>
        <v>Albert Uzcategui</v>
      </c>
      <c r="D200" s="44" t="s">
        <v>210</v>
      </c>
      <c r="E200" s="45">
        <f>IF(ISERROR(VLOOKUP(D200,'Lista de Precio '!A:C,3,0)),"",VLOOKUP(D200,'Lista de Precio '!A:C,3,0))</f>
        <v>20</v>
      </c>
      <c r="F200" s="46">
        <v>46021</v>
      </c>
      <c r="G200" s="47"/>
      <c r="H200" s="47"/>
      <c r="I200" s="47"/>
      <c r="J200" s="47"/>
      <c r="K200" s="47"/>
      <c r="L200" s="47"/>
      <c r="M200" s="47"/>
      <c r="N200" s="45">
        <f t="shared" si="6"/>
        <v>20</v>
      </c>
      <c r="O200" s="46"/>
      <c r="P200" s="44"/>
    </row>
    <row r="201" spans="1:16" ht="14.45" x14ac:dyDescent="0.3">
      <c r="A201" s="34">
        <v>182.29313698246699</v>
      </c>
      <c r="B201" s="39">
        <v>166</v>
      </c>
      <c r="C201" s="20" t="str">
        <f>IF(ISERROR(VLOOKUP(B201,CLIENTES!A:B,2,0)),"",VLOOKUP(B201,CLIENTES!A:B,2,0))</f>
        <v>Wilmer Albarran</v>
      </c>
      <c r="D201" s="39" t="s">
        <v>312</v>
      </c>
      <c r="E201" s="21">
        <f>IF(ISERROR(VLOOKUP(D201,'Lista de Precio '!A:C,3,0)),"",VLOOKUP(D201,'Lista de Precio '!A:C,3,0))</f>
        <v>20</v>
      </c>
      <c r="F201" s="40">
        <v>46016</v>
      </c>
      <c r="G201" s="41"/>
      <c r="H201" s="41"/>
      <c r="I201" s="41"/>
      <c r="J201" s="41"/>
      <c r="K201" s="41"/>
      <c r="L201" s="41"/>
      <c r="M201" s="41"/>
      <c r="N201" s="21">
        <f t="shared" si="6"/>
        <v>20</v>
      </c>
      <c r="O201" s="40"/>
      <c r="P201" s="39"/>
    </row>
    <row r="202" spans="1:16" ht="14.45" x14ac:dyDescent="0.3">
      <c r="A202" s="34">
        <v>183.205334815198</v>
      </c>
      <c r="B202" s="44">
        <v>137</v>
      </c>
      <c r="C202" t="str">
        <f>IF(ISERROR(VLOOKUP(B202,CLIENTES!A:B,2,0)),"",VLOOKUP(B202,CLIENTES!A:B,2,0))</f>
        <v>Diana Ardila</v>
      </c>
      <c r="D202" s="44" t="s">
        <v>327</v>
      </c>
      <c r="E202" s="45">
        <f>IF(ISERROR(VLOOKUP(D202,'Lista de Precio '!A:C,3,0)),"",VLOOKUP(D202,'Lista de Precio '!A:C,3,0))</f>
        <v>60</v>
      </c>
      <c r="F202" s="46">
        <v>46013</v>
      </c>
      <c r="G202" s="47"/>
      <c r="H202" s="47"/>
      <c r="I202" s="47"/>
      <c r="J202" s="47"/>
      <c r="K202" s="47"/>
      <c r="L202" s="47"/>
      <c r="M202" s="47"/>
      <c r="N202" s="45">
        <f t="shared" si="6"/>
        <v>60</v>
      </c>
      <c r="O202" s="46"/>
      <c r="P202" s="44"/>
    </row>
    <row r="203" spans="1:16" ht="14.45" x14ac:dyDescent="0.3">
      <c r="A203" s="34">
        <v>184.11753264792901</v>
      </c>
      <c r="B203" s="39">
        <v>129</v>
      </c>
      <c r="C203" s="20" t="str">
        <f>IF(ISERROR(VLOOKUP(B203,CLIENTES!A:B,2,0)),"",VLOOKUP(B203,CLIENTES!A:B,2,0))</f>
        <v>Reinaldo Davila</v>
      </c>
      <c r="D203" s="39" t="s">
        <v>320</v>
      </c>
      <c r="E203" s="21">
        <f>IF(ISERROR(VLOOKUP(D203,'Lista de Precio '!A:C,3,0)),"",VLOOKUP(D203,'Lista de Precio '!A:C,3,0))</f>
        <v>65</v>
      </c>
      <c r="F203" s="40">
        <v>45994</v>
      </c>
      <c r="G203" s="41">
        <v>20</v>
      </c>
      <c r="H203" s="41"/>
      <c r="I203" s="41"/>
      <c r="J203" s="41"/>
      <c r="K203" s="41"/>
      <c r="L203" s="41"/>
      <c r="M203" s="41"/>
      <c r="N203" s="21">
        <f t="shared" si="6"/>
        <v>45</v>
      </c>
      <c r="O203" s="40"/>
      <c r="P203" s="39"/>
    </row>
    <row r="204" spans="1:16" ht="14.45" x14ac:dyDescent="0.3">
      <c r="A204" s="34">
        <v>185.02973048065999</v>
      </c>
      <c r="B204" s="84">
        <v>167</v>
      </c>
      <c r="C204" s="89" t="str">
        <f>IF(ISERROR(VLOOKUP(B204,CLIENTES!A:B,2,0)),"",VLOOKUP(B204,CLIENTES!A:B,2,0))</f>
        <v xml:space="preserve">Andres Pinto </v>
      </c>
      <c r="D204" s="84" t="s">
        <v>41</v>
      </c>
      <c r="E204" s="55">
        <v>60</v>
      </c>
      <c r="F204" s="85" t="s">
        <v>370</v>
      </c>
      <c r="G204" s="86">
        <v>30</v>
      </c>
      <c r="H204" s="86">
        <v>30</v>
      </c>
      <c r="I204" s="86"/>
      <c r="J204" s="86"/>
      <c r="K204" s="86"/>
      <c r="L204" s="86"/>
      <c r="M204" s="86"/>
      <c r="N204" s="55">
        <f t="shared" si="6"/>
        <v>0</v>
      </c>
      <c r="O204" s="85"/>
      <c r="P204" s="84"/>
    </row>
    <row r="205" spans="1:16" x14ac:dyDescent="0.25">
      <c r="A205" s="34">
        <v>185.941928313391</v>
      </c>
      <c r="B205" s="84">
        <v>165</v>
      </c>
      <c r="C205" s="54" t="str">
        <f>IF(ISERROR(VLOOKUP(B205,CLIENTES!A:B,2,0)),"",VLOOKUP(B205,CLIENTES!A:B,2,0))</f>
        <v>Valentina Tribunal</v>
      </c>
      <c r="D205" s="84" t="s">
        <v>21</v>
      </c>
      <c r="E205" s="55">
        <v>60</v>
      </c>
      <c r="F205" s="85">
        <v>46031</v>
      </c>
      <c r="G205" s="86">
        <v>15</v>
      </c>
      <c r="H205" s="86">
        <v>45</v>
      </c>
      <c r="I205" s="86"/>
      <c r="J205" s="86"/>
      <c r="K205" s="86"/>
      <c r="L205" s="86"/>
      <c r="M205" s="86"/>
      <c r="N205" s="55">
        <f t="shared" si="6"/>
        <v>0</v>
      </c>
      <c r="O205" s="85"/>
      <c r="P205" s="84"/>
    </row>
    <row r="206" spans="1:16" s="89" customFormat="1" ht="14.45" x14ac:dyDescent="0.3">
      <c r="A206" s="98">
        <v>186.85412614612201</v>
      </c>
      <c r="B206" s="84">
        <v>128</v>
      </c>
      <c r="C206" s="89" t="str">
        <f>IF(ISERROR(VLOOKUP(B206,CLIENTES!A:B,2,0)),"",VLOOKUP(B206,CLIENTES!A:B,2,0))</f>
        <v>Ciribeth Guerrero</v>
      </c>
      <c r="D206" s="84" t="s">
        <v>294</v>
      </c>
      <c r="E206" s="55">
        <f>IF(ISERROR(VLOOKUP(D206,'Lista de Precio '!A:C,3,0)),"",VLOOKUP(D206,'Lista de Precio '!A:C,3,0))</f>
        <v>85</v>
      </c>
      <c r="F206" s="85">
        <v>46046</v>
      </c>
      <c r="G206" s="86"/>
      <c r="H206" s="86"/>
      <c r="I206" s="86"/>
      <c r="J206" s="86"/>
      <c r="K206" s="86"/>
      <c r="L206" s="86"/>
      <c r="M206" s="86"/>
      <c r="N206" s="55">
        <f t="shared" si="6"/>
        <v>85</v>
      </c>
      <c r="O206" s="85"/>
      <c r="P206" s="84" t="s">
        <v>372</v>
      </c>
    </row>
    <row r="207" spans="1:16" s="89" customFormat="1" ht="14.45" customHeight="1" x14ac:dyDescent="0.3">
      <c r="A207" s="98">
        <v>187.76632397885299</v>
      </c>
      <c r="B207" s="84">
        <v>128</v>
      </c>
      <c r="C207" s="54" t="str">
        <f>IF(ISERROR(VLOOKUP(B207,CLIENTES!A:B,2,0)),"",VLOOKUP(B207,CLIENTES!A:B,2,0))</f>
        <v>Ciribeth Guerrero</v>
      </c>
      <c r="D207" s="84" t="s">
        <v>293</v>
      </c>
      <c r="E207" s="55">
        <f>IF(ISERROR(VLOOKUP(D207,'Lista de Precio '!A:C,3,0)),"",VLOOKUP(D207,'Lista de Precio '!A:C,3,0))</f>
        <v>70</v>
      </c>
      <c r="F207" s="85">
        <v>46046</v>
      </c>
      <c r="G207" s="86">
        <v>70</v>
      </c>
      <c r="H207" s="86"/>
      <c r="I207" s="86"/>
      <c r="J207" s="86"/>
      <c r="K207" s="86"/>
      <c r="L207" s="86"/>
      <c r="M207" s="86"/>
      <c r="N207" s="55">
        <f t="shared" si="6"/>
        <v>0</v>
      </c>
      <c r="O207" s="85"/>
      <c r="P207" s="84" t="s">
        <v>372</v>
      </c>
    </row>
    <row r="208" spans="1:16" s="89" customFormat="1" x14ac:dyDescent="0.25">
      <c r="A208" s="98">
        <v>188.67852181158401</v>
      </c>
      <c r="B208" s="84">
        <v>128</v>
      </c>
      <c r="C208" s="89" t="str">
        <f>IF(ISERROR(VLOOKUP(B208,CLIENTES!A:B,2,0)),"",VLOOKUP(B208,CLIENTES!A:B,2,0))</f>
        <v>Ciribeth Guerrero</v>
      </c>
      <c r="D208" s="84" t="s">
        <v>296</v>
      </c>
      <c r="E208" s="55">
        <f>IF(ISERROR(VLOOKUP(D208,'Lista de Precio '!A:C,3,0)),"",VLOOKUP(D208,'Lista de Precio '!A:C,3,0))</f>
        <v>60</v>
      </c>
      <c r="F208" s="85">
        <v>46046</v>
      </c>
      <c r="G208" s="86">
        <v>30</v>
      </c>
      <c r="H208" s="86"/>
      <c r="I208" s="86"/>
      <c r="J208" s="86"/>
      <c r="K208" s="86"/>
      <c r="L208" s="86"/>
      <c r="M208" s="86"/>
      <c r="N208" s="55">
        <f t="shared" si="6"/>
        <v>30</v>
      </c>
      <c r="O208" s="85"/>
      <c r="P208" s="84" t="s">
        <v>372</v>
      </c>
    </row>
    <row r="209" spans="1:16" s="89" customFormat="1" x14ac:dyDescent="0.25">
      <c r="A209" s="98">
        <v>189.59071964431499</v>
      </c>
      <c r="B209" s="84">
        <v>128</v>
      </c>
      <c r="C209" s="54" t="str">
        <f>IF(ISERROR(VLOOKUP(B209,CLIENTES!A:B,2,0)),"",VLOOKUP(B209,CLIENTES!A:B,2,0))</f>
        <v>Ciribeth Guerrero</v>
      </c>
      <c r="D209" s="84" t="s">
        <v>302</v>
      </c>
      <c r="E209" s="55">
        <v>60</v>
      </c>
      <c r="F209" s="85">
        <v>46046</v>
      </c>
      <c r="G209" s="86"/>
      <c r="H209" s="86"/>
      <c r="I209" s="86"/>
      <c r="J209" s="86"/>
      <c r="K209" s="86"/>
      <c r="L209" s="86"/>
      <c r="M209" s="86"/>
      <c r="N209" s="55">
        <f t="shared" si="6"/>
        <v>60</v>
      </c>
      <c r="O209" s="85"/>
      <c r="P209" s="84" t="s">
        <v>372</v>
      </c>
    </row>
    <row r="210" spans="1:16" s="89" customFormat="1" x14ac:dyDescent="0.25">
      <c r="A210" s="98">
        <v>190.502917477046</v>
      </c>
      <c r="B210" s="84">
        <v>128</v>
      </c>
      <c r="C210" s="89" t="str">
        <f>IF(ISERROR(VLOOKUP(B210,CLIENTES!A:B,2,0)),"",VLOOKUP(B210,CLIENTES!A:B,2,0))</f>
        <v>Ciribeth Guerrero</v>
      </c>
      <c r="D210" s="84" t="s">
        <v>303</v>
      </c>
      <c r="E210" s="55">
        <f>IF(ISERROR(VLOOKUP(D210,'Lista de Precio '!A:C,3,0)),"",VLOOKUP(D210,'Lista de Precio '!A:C,3,0))</f>
        <v>60</v>
      </c>
      <c r="F210" s="85">
        <v>46046</v>
      </c>
      <c r="G210" s="86"/>
      <c r="H210" s="86"/>
      <c r="I210" s="86"/>
      <c r="J210" s="86"/>
      <c r="K210" s="86"/>
      <c r="L210" s="86"/>
      <c r="M210" s="86"/>
      <c r="N210" s="55">
        <f t="shared" si="6"/>
        <v>60</v>
      </c>
      <c r="O210" s="85"/>
      <c r="P210" s="84" t="s">
        <v>372</v>
      </c>
    </row>
    <row r="211" spans="1:16" s="89" customFormat="1" x14ac:dyDescent="0.25">
      <c r="A211" s="98">
        <v>191.41511530977701</v>
      </c>
      <c r="B211" s="84">
        <v>128</v>
      </c>
      <c r="C211" s="54" t="str">
        <f>IF(ISERROR(VLOOKUP(B211,CLIENTES!A:B,2,0)),"",VLOOKUP(B211,CLIENTES!A:B,2,0))</f>
        <v>Ciribeth Guerrero</v>
      </c>
      <c r="D211" s="84" t="s">
        <v>179</v>
      </c>
      <c r="E211" s="55">
        <v>60</v>
      </c>
      <c r="F211" s="85">
        <v>46046</v>
      </c>
      <c r="G211" s="86"/>
      <c r="H211" s="86"/>
      <c r="I211" s="86"/>
      <c r="J211" s="86"/>
      <c r="K211" s="86"/>
      <c r="L211" s="86"/>
      <c r="M211" s="86"/>
      <c r="N211" s="55">
        <f t="shared" si="6"/>
        <v>60</v>
      </c>
      <c r="O211" s="85"/>
      <c r="P211" s="84" t="s">
        <v>372</v>
      </c>
    </row>
    <row r="212" spans="1:16" x14ac:dyDescent="0.25">
      <c r="A212" s="34">
        <v>192.32731314250799</v>
      </c>
      <c r="B212" s="84">
        <v>168</v>
      </c>
      <c r="C212" s="89" t="str">
        <f>IF(ISERROR(VLOOKUP(B212,CLIENTES!A:B,2,0)),"",VLOOKUP(B212,CLIENTES!A:B,2,0))</f>
        <v>Johana Nieto</v>
      </c>
      <c r="D212" s="84" t="s">
        <v>203</v>
      </c>
      <c r="E212" s="55">
        <f>IF(ISERROR(VLOOKUP(D212,'Lista de Precio '!A:C,3,0)),"",VLOOKUP(D212,'Lista de Precio '!A:C,3,0))</f>
        <v>60</v>
      </c>
      <c r="F212" s="85"/>
      <c r="G212" s="86">
        <v>20</v>
      </c>
      <c r="H212" s="86">
        <v>40</v>
      </c>
      <c r="I212" s="86"/>
      <c r="J212" s="86"/>
      <c r="K212" s="86"/>
      <c r="L212" s="86"/>
      <c r="M212" s="86"/>
      <c r="N212" s="55">
        <f t="shared" ref="N212:N275" si="7">IF(D212="","",E212-G212-H212-I212-J212)</f>
        <v>0</v>
      </c>
      <c r="O212" s="85"/>
      <c r="P212" s="84"/>
    </row>
    <row r="213" spans="1:16" x14ac:dyDescent="0.25">
      <c r="A213" s="34">
        <v>193.239510975239</v>
      </c>
      <c r="B213" s="84">
        <v>169</v>
      </c>
      <c r="C213" s="54" t="str">
        <f>IF(ISERROR(VLOOKUP(B213,CLIENTES!A:B,2,0)),"",VLOOKUP(B213,CLIENTES!A:B,2,0))</f>
        <v>Marilyn</v>
      </c>
      <c r="D213" s="84" t="s">
        <v>320</v>
      </c>
      <c r="E213" s="55">
        <v>60</v>
      </c>
      <c r="F213" s="85">
        <v>46045</v>
      </c>
      <c r="G213" s="86">
        <v>20</v>
      </c>
      <c r="H213" s="86">
        <v>20</v>
      </c>
      <c r="I213" s="86">
        <v>20</v>
      </c>
      <c r="J213" s="86"/>
      <c r="K213" s="86"/>
      <c r="L213" s="86"/>
      <c r="M213" s="86"/>
      <c r="N213" s="55">
        <f t="shared" si="7"/>
        <v>0</v>
      </c>
      <c r="O213" s="85"/>
      <c r="P213" s="84"/>
    </row>
    <row r="214" spans="1:16" x14ac:dyDescent="0.25">
      <c r="A214" s="34">
        <v>194.15170880797001</v>
      </c>
      <c r="B214" s="44">
        <v>128</v>
      </c>
      <c r="C214" t="str">
        <f>IF(ISERROR(VLOOKUP(B214,CLIENTES!A:B,2,0)),"",VLOOKUP(B214,CLIENTES!A:B,2,0))</f>
        <v>Ciribeth Guerrero</v>
      </c>
      <c r="D214" s="44" t="s">
        <v>26</v>
      </c>
      <c r="E214" s="45">
        <v>85</v>
      </c>
      <c r="F214" s="46">
        <v>46045</v>
      </c>
      <c r="G214" s="47">
        <v>20</v>
      </c>
      <c r="H214" s="47">
        <v>20</v>
      </c>
      <c r="I214" s="47"/>
      <c r="J214" s="47"/>
      <c r="K214" s="47"/>
      <c r="L214" s="47"/>
      <c r="M214" s="47"/>
      <c r="N214" s="45">
        <f t="shared" si="7"/>
        <v>45</v>
      </c>
      <c r="O214" s="46"/>
      <c r="P214" s="44" t="s">
        <v>377</v>
      </c>
    </row>
    <row r="215" spans="1:16" x14ac:dyDescent="0.25">
      <c r="A215" s="34">
        <v>195.06390664070099</v>
      </c>
      <c r="B215" s="39">
        <v>128</v>
      </c>
      <c r="C215" s="20" t="str">
        <f>IF(ISERROR(VLOOKUP(B215,CLIENTES!A:B,2,0)),"",VLOOKUP(B215,CLIENTES!A:B,2,0))</f>
        <v>Ciribeth Guerrero</v>
      </c>
      <c r="D215" s="39" t="s">
        <v>222</v>
      </c>
      <c r="E215" s="21">
        <f>IF(ISERROR(VLOOKUP(D215,'Lista de Precio '!A:C,3,0)),"",VLOOKUP(D215,'Lista de Precio '!A:C,3,0))</f>
        <v>15</v>
      </c>
      <c r="F215" s="40">
        <v>46045</v>
      </c>
      <c r="G215" s="41"/>
      <c r="H215" s="41"/>
      <c r="I215" s="41"/>
      <c r="J215" s="41"/>
      <c r="K215" s="41"/>
      <c r="L215" s="41"/>
      <c r="M215" s="41"/>
      <c r="N215" s="21">
        <f t="shared" si="7"/>
        <v>15</v>
      </c>
      <c r="O215" s="40"/>
      <c r="P215" s="39" t="s">
        <v>378</v>
      </c>
    </row>
    <row r="216" spans="1:16" x14ac:dyDescent="0.25">
      <c r="A216" s="34">
        <v>195.976104473432</v>
      </c>
      <c r="B216" s="44">
        <v>128</v>
      </c>
      <c r="C216" t="str">
        <f>IF(ISERROR(VLOOKUP(B216,CLIENTES!A:B,2,0)),"",VLOOKUP(B216,CLIENTES!A:B,2,0))</f>
        <v>Ciribeth Guerrero</v>
      </c>
      <c r="D216" s="44" t="s">
        <v>323</v>
      </c>
      <c r="E216" s="45">
        <v>40</v>
      </c>
      <c r="F216" s="46">
        <v>46045</v>
      </c>
      <c r="G216" s="47"/>
      <c r="H216" s="47"/>
      <c r="I216" s="47"/>
      <c r="J216" s="47"/>
      <c r="K216" s="47"/>
      <c r="L216" s="47"/>
      <c r="M216" s="47"/>
      <c r="N216" s="45">
        <f t="shared" si="7"/>
        <v>40</v>
      </c>
      <c r="O216" s="46"/>
      <c r="P216" s="44" t="s">
        <v>379</v>
      </c>
    </row>
    <row r="217" spans="1:16" x14ac:dyDescent="0.25">
      <c r="A217" s="98">
        <v>196.88830230616301</v>
      </c>
      <c r="B217" s="84">
        <v>128</v>
      </c>
      <c r="C217" s="54" t="str">
        <f>IF(ISERROR(VLOOKUP(B217,CLIENTES!A:B,2,0)),"",VLOOKUP(B217,CLIENTES!A:B,2,0))</f>
        <v>Ciribeth Guerrero</v>
      </c>
      <c r="D217" s="84" t="s">
        <v>305</v>
      </c>
      <c r="E217" s="55">
        <v>25</v>
      </c>
      <c r="F217" s="85">
        <v>46045</v>
      </c>
      <c r="G217" s="86">
        <v>25</v>
      </c>
      <c r="H217" s="86"/>
      <c r="I217" s="86"/>
      <c r="J217" s="86"/>
      <c r="K217" s="86"/>
      <c r="L217" s="86"/>
      <c r="M217" s="86"/>
      <c r="N217" s="55">
        <f t="shared" si="7"/>
        <v>0</v>
      </c>
      <c r="O217" s="85"/>
      <c r="P217" s="84" t="s">
        <v>380</v>
      </c>
    </row>
    <row r="218" spans="1:16" x14ac:dyDescent="0.25">
      <c r="A218" s="98">
        <v>197.80050013889399</v>
      </c>
      <c r="B218" s="84">
        <v>128</v>
      </c>
      <c r="C218" s="89" t="str">
        <f>IF(ISERROR(VLOOKUP(B218,CLIENTES!A:B,2,0)),"",VLOOKUP(B218,CLIENTES!A:B,2,0))</f>
        <v>Ciribeth Guerrero</v>
      </c>
      <c r="D218" s="84" t="s">
        <v>298</v>
      </c>
      <c r="E218" s="55">
        <f>IF(ISERROR(VLOOKUP(D218,'Lista de Precio '!A:C,3,0)),"",VLOOKUP(D218,'Lista de Precio '!A:C,3,0))</f>
        <v>85</v>
      </c>
      <c r="F218" s="85">
        <v>46045</v>
      </c>
      <c r="G218" s="86">
        <v>85</v>
      </c>
      <c r="H218" s="86"/>
      <c r="I218" s="86"/>
      <c r="J218" s="86"/>
      <c r="K218" s="86"/>
      <c r="L218" s="86"/>
      <c r="M218" s="86"/>
      <c r="N218" s="55">
        <f t="shared" si="7"/>
        <v>0</v>
      </c>
      <c r="O218" s="85"/>
      <c r="P218" s="84" t="s">
        <v>380</v>
      </c>
    </row>
    <row r="219" spans="1:16" x14ac:dyDescent="0.25">
      <c r="A219" s="34">
        <v>198.712697971625</v>
      </c>
      <c r="B219" s="39">
        <v>128</v>
      </c>
      <c r="C219" s="20" t="str">
        <f>IF(ISERROR(VLOOKUP(B219,CLIENTES!A:B,2,0)),"",VLOOKUP(B219,CLIENTES!A:B,2,0))</f>
        <v>Ciribeth Guerrero</v>
      </c>
      <c r="D219" s="39" t="s">
        <v>295</v>
      </c>
      <c r="E219" s="21">
        <v>40</v>
      </c>
      <c r="F219" s="40">
        <v>46045</v>
      </c>
      <c r="G219" s="41"/>
      <c r="H219" s="41"/>
      <c r="I219" s="41"/>
      <c r="J219" s="41"/>
      <c r="K219" s="41"/>
      <c r="L219" s="41"/>
      <c r="M219" s="41"/>
      <c r="N219" s="21">
        <f t="shared" si="7"/>
        <v>40</v>
      </c>
      <c r="O219" s="40"/>
      <c r="P219" s="39" t="s">
        <v>381</v>
      </c>
    </row>
    <row r="220" spans="1:16" x14ac:dyDescent="0.25">
      <c r="A220" s="34">
        <v>199.62489580435599</v>
      </c>
      <c r="B220" s="84">
        <v>136</v>
      </c>
      <c r="C220" s="89" t="str">
        <f>IF(ISERROR(VLOOKUP(B220,CLIENTES!A:B,2,0)),"",VLOOKUP(B220,CLIENTES!A:B,2,0))</f>
        <v>Luis Rivero</v>
      </c>
      <c r="D220" s="84" t="s">
        <v>47</v>
      </c>
      <c r="E220" s="55">
        <f>IF(ISERROR(VLOOKUP(D220,'Lista de Precio '!A:C,3,0)),"",VLOOKUP(D220,'Lista de Precio '!A:C,3,0))</f>
        <v>50</v>
      </c>
      <c r="F220" s="85">
        <v>46048</v>
      </c>
      <c r="G220" s="86">
        <v>25</v>
      </c>
      <c r="H220" s="86">
        <v>25</v>
      </c>
      <c r="I220" s="86"/>
      <c r="J220" s="86"/>
      <c r="K220" s="86"/>
      <c r="L220" s="86"/>
      <c r="M220" s="86"/>
      <c r="N220" s="55">
        <f t="shared" si="7"/>
        <v>0</v>
      </c>
      <c r="O220" s="85"/>
      <c r="P220" s="84" t="s">
        <v>382</v>
      </c>
    </row>
    <row r="221" spans="1:16" x14ac:dyDescent="0.25">
      <c r="A221" s="34">
        <v>200.537093637087</v>
      </c>
      <c r="B221" s="39">
        <v>136</v>
      </c>
      <c r="C221" s="20" t="str">
        <f>IF(ISERROR(VLOOKUP(B221,CLIENTES!A:B,2,0)),"",VLOOKUP(B221,CLIENTES!A:B,2,0))</f>
        <v>Luis Rivero</v>
      </c>
      <c r="D221" s="39" t="s">
        <v>302</v>
      </c>
      <c r="E221" s="21">
        <f>IF(ISERROR(VLOOKUP(D221,'Lista de Precio '!A:C,3,0)),"",VLOOKUP(D221,'Lista de Precio '!A:C,3,0))</f>
        <v>65</v>
      </c>
      <c r="F221" s="40">
        <v>46048</v>
      </c>
      <c r="G221" s="41">
        <v>30</v>
      </c>
      <c r="H221" s="41"/>
      <c r="I221" s="41"/>
      <c r="J221" s="41"/>
      <c r="K221" s="41"/>
      <c r="L221" s="41"/>
      <c r="M221" s="41"/>
      <c r="N221" s="21">
        <f t="shared" si="7"/>
        <v>35</v>
      </c>
      <c r="O221" s="40"/>
      <c r="P221" s="39" t="s">
        <v>382</v>
      </c>
    </row>
    <row r="222" spans="1:16" x14ac:dyDescent="0.25">
      <c r="A222" s="34">
        <v>201.44929146981801</v>
      </c>
      <c r="B222" s="44">
        <v>136</v>
      </c>
      <c r="C222" t="str">
        <f>IF(ISERROR(VLOOKUP(B222,CLIENTES!A:B,2,0)),"",VLOOKUP(B222,CLIENTES!A:B,2,0))</f>
        <v>Luis Rivero</v>
      </c>
      <c r="D222" s="44" t="s">
        <v>3</v>
      </c>
      <c r="E222" s="45">
        <f>IF(ISERROR(VLOOKUP(D222,'Lista de Precio '!A:C,3,0)),"",VLOOKUP(D222,'Lista de Precio '!A:C,3,0))</f>
        <v>28.5</v>
      </c>
      <c r="F222" s="46">
        <v>46048</v>
      </c>
      <c r="G222" s="47"/>
      <c r="H222" s="47"/>
      <c r="I222" s="47"/>
      <c r="J222" s="47"/>
      <c r="K222" s="47"/>
      <c r="L222" s="47"/>
      <c r="M222" s="47"/>
      <c r="N222" s="45">
        <f t="shared" si="7"/>
        <v>28.5</v>
      </c>
      <c r="O222" s="46"/>
      <c r="P222" s="44" t="s">
        <v>382</v>
      </c>
    </row>
    <row r="223" spans="1:16" x14ac:dyDescent="0.25">
      <c r="A223" s="34">
        <v>202.36148930254899</v>
      </c>
      <c r="B223" s="39">
        <v>136</v>
      </c>
      <c r="C223" s="20" t="str">
        <f>IF(ISERROR(VLOOKUP(B223,CLIENTES!A:B,2,0)),"",VLOOKUP(B223,CLIENTES!A:B,2,0))</f>
        <v>Luis Rivero</v>
      </c>
      <c r="D223" s="39" t="s">
        <v>205</v>
      </c>
      <c r="E223" s="21">
        <f>IF(ISERROR(VLOOKUP(D223,'Lista de Precio '!A:C,3,0)),"",VLOOKUP(D223,'Lista de Precio '!A:C,3,0))</f>
        <v>60</v>
      </c>
      <c r="F223" s="40">
        <v>46048</v>
      </c>
      <c r="G223" s="41"/>
      <c r="H223" s="41"/>
      <c r="I223" s="41"/>
      <c r="J223" s="41"/>
      <c r="K223" s="41"/>
      <c r="L223" s="41"/>
      <c r="M223" s="41"/>
      <c r="N223" s="21">
        <f t="shared" si="7"/>
        <v>60</v>
      </c>
      <c r="O223" s="40"/>
      <c r="P223" s="39" t="s">
        <v>383</v>
      </c>
    </row>
    <row r="224" spans="1:16" x14ac:dyDescent="0.25">
      <c r="A224" s="34">
        <v>203.27368713528</v>
      </c>
      <c r="B224" s="44">
        <v>136</v>
      </c>
      <c r="C224" t="str">
        <f>IF(ISERROR(VLOOKUP(B224,CLIENTES!A:B,2,0)),"",VLOOKUP(B224,CLIENTES!A:B,2,0))</f>
        <v>Luis Rivero</v>
      </c>
      <c r="D224" s="44" t="s">
        <v>225</v>
      </c>
      <c r="E224" s="45">
        <f>IF(ISERROR(VLOOKUP(D224,'Lista de Precio '!A:C,3,0)),"",VLOOKUP(D224,'Lista de Precio '!A:C,3,0))</f>
        <v>15</v>
      </c>
      <c r="F224" s="46">
        <v>45683</v>
      </c>
      <c r="G224" s="47"/>
      <c r="H224" s="47"/>
      <c r="I224" s="47"/>
      <c r="J224" s="47"/>
      <c r="K224" s="47"/>
      <c r="L224" s="47"/>
      <c r="M224" s="47"/>
      <c r="N224" s="45">
        <f t="shared" si="7"/>
        <v>15</v>
      </c>
      <c r="O224" s="46"/>
      <c r="P224" s="44" t="s">
        <v>383</v>
      </c>
    </row>
    <row r="225" spans="1:16" x14ac:dyDescent="0.25">
      <c r="A225" s="34">
        <v>204.18588496801101</v>
      </c>
      <c r="B225" s="39">
        <v>128</v>
      </c>
      <c r="C225" s="20" t="str">
        <f>IF(ISERROR(VLOOKUP(B225,CLIENTES!A:B,2,0)),"",VLOOKUP(B225,CLIENTES!A:B,2,0))</f>
        <v>Ciribeth Guerrero</v>
      </c>
      <c r="D225" s="39" t="s">
        <v>300</v>
      </c>
      <c r="E225" s="21">
        <f>IF(ISERROR(VLOOKUP(D225,'Lista de Precio '!A:C,3,0)),"",VLOOKUP(D225,'Lista de Precio '!A:C,3,0))</f>
        <v>60</v>
      </c>
      <c r="F225" s="40">
        <v>46051</v>
      </c>
      <c r="G225" s="41"/>
      <c r="H225" s="41"/>
      <c r="I225" s="41"/>
      <c r="J225" s="41"/>
      <c r="K225" s="41"/>
      <c r="L225" s="41"/>
      <c r="M225" s="41"/>
      <c r="N225" s="21">
        <f t="shared" si="7"/>
        <v>60</v>
      </c>
      <c r="O225" s="40"/>
      <c r="P225" s="39" t="s">
        <v>385</v>
      </c>
    </row>
    <row r="226" spans="1:16" x14ac:dyDescent="0.25">
      <c r="A226" s="34">
        <v>205.09808280074199</v>
      </c>
      <c r="B226" s="44">
        <v>128</v>
      </c>
      <c r="C226" t="str">
        <f>IF(ISERROR(VLOOKUP(B226,CLIENTES!A:B,2,0)),"",VLOOKUP(B226,CLIENTES!A:B,2,0))</f>
        <v>Ciribeth Guerrero</v>
      </c>
      <c r="D226" s="44" t="s">
        <v>9</v>
      </c>
      <c r="E226" s="45">
        <f>IF(ISERROR(VLOOKUP(D226,'Lista de Precio '!A:C,3,0)),"",VLOOKUP(D226,'Lista de Precio '!A:C,3,0))</f>
        <v>60</v>
      </c>
      <c r="F226" s="46">
        <v>46054</v>
      </c>
      <c r="G226" s="47"/>
      <c r="H226" s="47"/>
      <c r="I226" s="47"/>
      <c r="J226" s="47"/>
      <c r="K226" s="47"/>
      <c r="L226" s="47"/>
      <c r="M226" s="47"/>
      <c r="N226" s="45">
        <f t="shared" si="7"/>
        <v>60</v>
      </c>
      <c r="O226" s="46"/>
      <c r="P226" s="44" t="s">
        <v>388</v>
      </c>
    </row>
    <row r="227" spans="1:16" x14ac:dyDescent="0.25">
      <c r="A227" s="34">
        <v>206.010280633473</v>
      </c>
      <c r="B227" s="39">
        <v>170</v>
      </c>
      <c r="C227" s="20" t="str">
        <f>IF(ISERROR(VLOOKUP(B227,CLIENTES!A:B,2,0)),"",VLOOKUP(B227,CLIENTES!A:B,2,0))</f>
        <v>Omar Guerra</v>
      </c>
      <c r="D227" s="39" t="s">
        <v>321</v>
      </c>
      <c r="E227" s="21">
        <v>65</v>
      </c>
      <c r="F227" s="40">
        <v>46059</v>
      </c>
      <c r="G227" s="41">
        <v>40</v>
      </c>
      <c r="H227" s="41">
        <v>25</v>
      </c>
      <c r="I227" s="41"/>
      <c r="J227" s="41"/>
      <c r="K227" s="41"/>
      <c r="L227" s="41"/>
      <c r="M227" s="41"/>
      <c r="N227" s="21">
        <f t="shared" si="7"/>
        <v>0</v>
      </c>
      <c r="O227" s="40"/>
      <c r="P227" s="39" t="s">
        <v>390</v>
      </c>
    </row>
    <row r="228" spans="1:16" x14ac:dyDescent="0.25">
      <c r="A228" s="34">
        <v>206.92247846620401</v>
      </c>
      <c r="B228" s="44">
        <v>170</v>
      </c>
      <c r="C228" t="str">
        <f>IF(ISERROR(VLOOKUP(B228,CLIENTES!A:B,2,0)),"",VLOOKUP(B228,CLIENTES!A:B,2,0))</f>
        <v>Omar Guerra</v>
      </c>
      <c r="D228" s="44" t="s">
        <v>186</v>
      </c>
      <c r="E228" s="45">
        <v>55</v>
      </c>
      <c r="F228" s="46">
        <v>46059</v>
      </c>
      <c r="G228" s="47">
        <v>5</v>
      </c>
      <c r="H228" s="47"/>
      <c r="I228" s="47"/>
      <c r="J228" s="47"/>
      <c r="K228" s="47"/>
      <c r="L228" s="47"/>
      <c r="M228" s="47"/>
      <c r="N228" s="45">
        <f t="shared" si="7"/>
        <v>50</v>
      </c>
      <c r="O228" s="46"/>
      <c r="P228" s="44" t="s">
        <v>390</v>
      </c>
    </row>
    <row r="229" spans="1:16" x14ac:dyDescent="0.25">
      <c r="A229" s="34">
        <v>207.83467629893499</v>
      </c>
      <c r="B229" s="39">
        <v>170</v>
      </c>
      <c r="C229" s="20" t="str">
        <f>IF(ISERROR(VLOOKUP(B229,CLIENTES!A:B,2,0)),"",VLOOKUP(B229,CLIENTES!A:B,2,0))</f>
        <v>Omar Guerra</v>
      </c>
      <c r="D229" s="39" t="s">
        <v>47</v>
      </c>
      <c r="E229" s="21">
        <v>55</v>
      </c>
      <c r="F229" s="40">
        <v>46061</v>
      </c>
      <c r="G229" s="41"/>
      <c r="H229" s="41"/>
      <c r="I229" s="41"/>
      <c r="J229" s="41"/>
      <c r="K229" s="41"/>
      <c r="L229" s="41"/>
      <c r="M229" s="41"/>
      <c r="N229" s="21">
        <f t="shared" si="7"/>
        <v>55</v>
      </c>
      <c r="O229" s="40"/>
      <c r="P229" s="39" t="s">
        <v>390</v>
      </c>
    </row>
    <row r="230" spans="1:16" ht="14.25" customHeight="1" x14ac:dyDescent="0.25">
      <c r="A230" s="34">
        <v>208.746874131666</v>
      </c>
      <c r="B230" s="44">
        <v>170</v>
      </c>
      <c r="C230" t="str">
        <f>IF(ISERROR(VLOOKUP(B230,CLIENTES!A:B,2,0)),"",VLOOKUP(B230,CLIENTES!A:B,2,0))</f>
        <v>Omar Guerra</v>
      </c>
      <c r="D230" s="44" t="s">
        <v>296</v>
      </c>
      <c r="E230" s="45">
        <f>IF(ISERROR(VLOOKUP(D230,'Lista de Precio '!A:C,3,0)),"",VLOOKUP(D230,'Lista de Precio '!A:C,3,0))</f>
        <v>60</v>
      </c>
      <c r="F230" s="46">
        <v>46061</v>
      </c>
      <c r="G230" s="47"/>
      <c r="H230" s="47"/>
      <c r="I230" s="47"/>
      <c r="J230" s="47"/>
      <c r="K230" s="47"/>
      <c r="L230" s="47"/>
      <c r="M230" s="47"/>
      <c r="N230" s="45">
        <f t="shared" si="7"/>
        <v>60</v>
      </c>
      <c r="O230" s="46"/>
      <c r="P230" s="44" t="s">
        <v>390</v>
      </c>
    </row>
    <row r="231" spans="1:16" x14ac:dyDescent="0.25">
      <c r="A231" s="34">
        <v>209.65907196439699</v>
      </c>
      <c r="B231" s="84">
        <v>171</v>
      </c>
      <c r="C231" s="54" t="str">
        <f>IF(ISERROR(VLOOKUP(B231,CLIENTES!A:B,2,0)),"",VLOOKUP(B231,CLIENTES!A:B,2,0))</f>
        <v>Liliana Secretaria Omar</v>
      </c>
      <c r="D231" s="84" t="s">
        <v>186</v>
      </c>
      <c r="E231" s="55">
        <v>55</v>
      </c>
      <c r="F231" s="85">
        <v>46061</v>
      </c>
      <c r="G231" s="86">
        <v>15</v>
      </c>
      <c r="H231" s="86">
        <v>20</v>
      </c>
      <c r="I231" s="86">
        <v>20</v>
      </c>
      <c r="J231" s="86"/>
      <c r="K231" s="86"/>
      <c r="L231" s="86"/>
      <c r="M231" s="86"/>
      <c r="N231" s="55">
        <f t="shared" si="7"/>
        <v>0</v>
      </c>
      <c r="O231" s="85"/>
      <c r="P231" s="84" t="s">
        <v>395</v>
      </c>
    </row>
    <row r="232" spans="1:16" x14ac:dyDescent="0.25">
      <c r="A232" s="34">
        <v>210.571269797128</v>
      </c>
      <c r="B232" s="44">
        <v>120</v>
      </c>
      <c r="C232" t="str">
        <f>IF(ISERROR(VLOOKUP(B232,CLIENTES!A:B,2,0)),"",VLOOKUP(B232,CLIENTES!A:B,2,0))</f>
        <v>Junior Hidromaticos</v>
      </c>
      <c r="D232" s="44" t="s">
        <v>322</v>
      </c>
      <c r="E232" s="45">
        <v>40</v>
      </c>
      <c r="F232" s="46">
        <v>46063</v>
      </c>
      <c r="G232" s="47"/>
      <c r="H232" s="47"/>
      <c r="I232" s="47"/>
      <c r="J232" s="47"/>
      <c r="K232" s="47"/>
      <c r="L232" s="47"/>
      <c r="M232" s="47"/>
      <c r="N232" s="45">
        <f t="shared" si="7"/>
        <v>40</v>
      </c>
      <c r="O232" s="46"/>
      <c r="P232" s="44"/>
    </row>
    <row r="233" spans="1:16" x14ac:dyDescent="0.25">
      <c r="A233" s="34">
        <v>211.48346762985901</v>
      </c>
      <c r="B233" s="39">
        <v>120</v>
      </c>
      <c r="C233" s="20" t="str">
        <f>IF(ISERROR(VLOOKUP(B233,CLIENTES!A:B,2,0)),"",VLOOKUP(B233,CLIENTES!A:B,2,0))</f>
        <v>Junior Hidromaticos</v>
      </c>
      <c r="D233" s="39" t="s">
        <v>295</v>
      </c>
      <c r="E233" s="21">
        <v>40</v>
      </c>
      <c r="F233" s="40">
        <v>46063</v>
      </c>
      <c r="G233" s="41"/>
      <c r="H233" s="41"/>
      <c r="I233" s="41"/>
      <c r="J233" s="41"/>
      <c r="K233" s="41"/>
      <c r="L233" s="41"/>
      <c r="M233" s="41"/>
      <c r="N233" s="21">
        <f t="shared" si="7"/>
        <v>40</v>
      </c>
      <c r="O233" s="40"/>
      <c r="P233" s="39"/>
    </row>
    <row r="234" spans="1:16" x14ac:dyDescent="0.25">
      <c r="A234" s="34">
        <v>212.39566546258999</v>
      </c>
      <c r="B234" s="44">
        <v>121</v>
      </c>
      <c r="C234" t="str">
        <f>IF(ISERROR(VLOOKUP(B234,CLIENTES!A:B,2,0)),"",VLOOKUP(B234,CLIENTES!A:B,2,0))</f>
        <v>Grise Hidromaticos</v>
      </c>
      <c r="D234" s="44" t="s">
        <v>312</v>
      </c>
      <c r="E234" s="45">
        <f>IF(ISERROR(VLOOKUP(D234,'Lista de Precio '!A:C,3,0)),"",VLOOKUP(D234,'Lista de Precio '!A:C,3,0))</f>
        <v>20</v>
      </c>
      <c r="F234" s="46">
        <v>46063</v>
      </c>
      <c r="G234" s="47"/>
      <c r="H234" s="47"/>
      <c r="I234" s="47"/>
      <c r="J234" s="47"/>
      <c r="K234" s="47"/>
      <c r="L234" s="47"/>
      <c r="M234" s="47"/>
      <c r="N234" s="45">
        <f t="shared" si="7"/>
        <v>20</v>
      </c>
      <c r="O234" s="46"/>
      <c r="P234" s="44"/>
    </row>
    <row r="235" spans="1:16" x14ac:dyDescent="0.25">
      <c r="A235" s="34">
        <v>213.307863295321</v>
      </c>
      <c r="B235" s="39">
        <v>136</v>
      </c>
      <c r="C235" s="20" t="str">
        <f>IF(ISERROR(VLOOKUP(B235,CLIENTES!A:B,2,0)),"",VLOOKUP(B235,CLIENTES!A:B,2,0))</f>
        <v>Luis Rivero</v>
      </c>
      <c r="D235" s="39" t="s">
        <v>210</v>
      </c>
      <c r="E235" s="21">
        <f>IF(ISERROR(VLOOKUP(D235,'Lista de Precio '!A:C,3,0)),"",VLOOKUP(D235,'Lista de Precio '!A:C,3,0))</f>
        <v>20</v>
      </c>
      <c r="F235" s="40">
        <v>46067</v>
      </c>
      <c r="G235" s="41"/>
      <c r="H235" s="41"/>
      <c r="I235" s="41"/>
      <c r="J235" s="41"/>
      <c r="K235" s="41"/>
      <c r="L235" s="41"/>
      <c r="M235" s="41"/>
      <c r="N235" s="21">
        <f t="shared" si="7"/>
        <v>20</v>
      </c>
      <c r="O235" s="40"/>
      <c r="P235" s="39"/>
    </row>
    <row r="236" spans="1:16" ht="17.25" customHeight="1" x14ac:dyDescent="0.25">
      <c r="A236" s="34">
        <v>214.22006112805201</v>
      </c>
      <c r="B236" s="44">
        <v>136</v>
      </c>
      <c r="C236" t="str">
        <f>IF(ISERROR(VLOOKUP(B236,CLIENTES!A:B,2,0)),"",VLOOKUP(B236,CLIENTES!A:B,2,0))</f>
        <v>Luis Rivero</v>
      </c>
      <c r="D236" s="44" t="s">
        <v>302</v>
      </c>
      <c r="E236" s="45">
        <f>IF(ISERROR(VLOOKUP(D236,'Lista de Precio '!A:C,3,0)),"",VLOOKUP(D236,'Lista de Precio '!A:C,3,0))</f>
        <v>65</v>
      </c>
      <c r="F236" s="46">
        <v>46078</v>
      </c>
      <c r="G236" s="47">
        <v>30</v>
      </c>
      <c r="H236" s="47"/>
      <c r="I236" s="47"/>
      <c r="J236" s="47"/>
      <c r="K236" s="47"/>
      <c r="L236" s="47"/>
      <c r="M236" s="47"/>
      <c r="N236" s="45">
        <f t="shared" si="7"/>
        <v>35</v>
      </c>
      <c r="O236" s="46"/>
      <c r="P236" s="44" t="s">
        <v>402</v>
      </c>
    </row>
    <row r="237" spans="1:16" ht="17.25" customHeight="1" x14ac:dyDescent="0.25">
      <c r="A237" s="34">
        <v>215.13225896078299</v>
      </c>
      <c r="B237" s="39">
        <v>136</v>
      </c>
      <c r="C237" s="20" t="str">
        <f>IF(ISERROR(VLOOKUP(B237,CLIENTES!A:B,2,0)),"",VLOOKUP(B237,CLIENTES!A:B,2,0))</f>
        <v>Luis Rivero</v>
      </c>
      <c r="D237" s="39" t="s">
        <v>9</v>
      </c>
      <c r="E237" s="21">
        <f>IF(ISERROR(VLOOKUP(D237,'Lista de Precio '!A:C,3,0)),"",VLOOKUP(D237,'Lista de Precio '!A:C,3,0))</f>
        <v>60</v>
      </c>
      <c r="F237" s="40">
        <v>46078</v>
      </c>
      <c r="G237" s="41">
        <v>20</v>
      </c>
      <c r="H237" s="41"/>
      <c r="I237" s="41"/>
      <c r="J237" s="41"/>
      <c r="K237" s="41"/>
      <c r="L237" s="41"/>
      <c r="M237" s="41"/>
      <c r="N237" s="21">
        <f t="shared" si="7"/>
        <v>40</v>
      </c>
      <c r="O237" s="40"/>
      <c r="P237" s="39" t="s">
        <v>403</v>
      </c>
    </row>
    <row r="238" spans="1:16" x14ac:dyDescent="0.25">
      <c r="A238" s="34">
        <v>216.044456793514</v>
      </c>
      <c r="B238" s="84">
        <v>172</v>
      </c>
      <c r="C238" s="89" t="str">
        <f>IF(ISERROR(VLOOKUP(B238,CLIENTES!A:B,2,0)),"",VLOOKUP(B238,CLIENTES!A:B,2,0))</f>
        <v>Kawy</v>
      </c>
      <c r="D238" s="84" t="s">
        <v>321</v>
      </c>
      <c r="E238" s="55">
        <f>IF(ISERROR(VLOOKUP(D238,'Lista de Precio '!A:C,3,0)),"",VLOOKUP(D238,'Lista de Precio '!A:C,3,0))</f>
        <v>60</v>
      </c>
      <c r="F238" s="85">
        <v>46091</v>
      </c>
      <c r="G238" s="86">
        <v>30</v>
      </c>
      <c r="H238" s="86">
        <v>20</v>
      </c>
      <c r="I238" s="86">
        <v>10</v>
      </c>
      <c r="J238" s="86"/>
      <c r="K238" s="86"/>
      <c r="L238" s="86"/>
      <c r="M238" s="86"/>
      <c r="N238" s="55">
        <f t="shared" si="7"/>
        <v>0</v>
      </c>
      <c r="O238" s="85"/>
      <c r="P238" s="84"/>
    </row>
    <row r="239" spans="1:16" x14ac:dyDescent="0.25">
      <c r="A239" s="34">
        <v>216.95665462624501</v>
      </c>
      <c r="B239" s="84">
        <v>155</v>
      </c>
      <c r="C239" s="54" t="str">
        <f>IF(ISERROR(VLOOKUP(B239,CLIENTES!A:B,2,0)),"",VLOOKUP(B239,CLIENTES!A:B,2,0))</f>
        <v>Karen Vergara</v>
      </c>
      <c r="D239" s="84" t="s">
        <v>226</v>
      </c>
      <c r="E239" s="55">
        <f>IF(ISERROR(VLOOKUP(D239,'Lista de Precio '!A:C,3,0)),"",VLOOKUP(D239,'Lista de Precio '!A:C,3,0))</f>
        <v>15</v>
      </c>
      <c r="F239" s="85">
        <v>46091</v>
      </c>
      <c r="G239" s="86">
        <v>15</v>
      </c>
      <c r="H239" s="86"/>
      <c r="I239" s="86"/>
      <c r="J239" s="86"/>
      <c r="K239" s="86"/>
      <c r="L239" s="86"/>
      <c r="M239" s="86"/>
      <c r="N239" s="55">
        <f t="shared" si="7"/>
        <v>0</v>
      </c>
      <c r="O239" s="85"/>
      <c r="P239" s="84"/>
    </row>
    <row r="240" spans="1:16" x14ac:dyDescent="0.25">
      <c r="A240" s="34">
        <v>217.86885245897599</v>
      </c>
      <c r="B240" s="44">
        <v>136</v>
      </c>
      <c r="C240" t="str">
        <f>IF(ISERROR(VLOOKUP(B240,CLIENTES!A:B,2,0)),"",VLOOKUP(B240,CLIENTES!A:B,2,0))</f>
        <v>Luis Rivero</v>
      </c>
      <c r="D240" s="44" t="s">
        <v>21</v>
      </c>
      <c r="E240" s="45">
        <f>IF(ISERROR(VLOOKUP(D240,'Lista de Precio '!A:C,3,0)),"",VLOOKUP(D240,'Lista de Precio '!A:C,3,0))</f>
        <v>55</v>
      </c>
      <c r="F240" s="46">
        <v>46100</v>
      </c>
      <c r="G240" s="47"/>
      <c r="H240" s="47"/>
      <c r="I240" s="47"/>
      <c r="J240" s="47"/>
      <c r="K240" s="47"/>
      <c r="L240" s="47"/>
      <c r="M240" s="47"/>
      <c r="N240" s="45">
        <f t="shared" si="7"/>
        <v>55</v>
      </c>
      <c r="O240" s="46"/>
      <c r="P240" s="44" t="s">
        <v>405</v>
      </c>
    </row>
    <row r="241" spans="1:16" x14ac:dyDescent="0.25">
      <c r="A241" s="34">
        <v>218.781050291707</v>
      </c>
      <c r="B241" s="84">
        <v>140</v>
      </c>
      <c r="C241" s="54" t="str">
        <f>IF(ISERROR(VLOOKUP(B241,CLIENTES!A:B,2,0)),"",VLOOKUP(B241,CLIENTES!A:B,2,0))</f>
        <v>Danco Papel</v>
      </c>
      <c r="D241" s="84" t="s">
        <v>92</v>
      </c>
      <c r="E241" s="55">
        <v>60</v>
      </c>
      <c r="F241" s="85"/>
      <c r="G241" s="86">
        <v>10</v>
      </c>
      <c r="H241" s="86">
        <v>50</v>
      </c>
      <c r="I241" s="86"/>
      <c r="J241" s="86"/>
      <c r="K241" s="86"/>
      <c r="L241" s="86"/>
      <c r="M241" s="86"/>
      <c r="N241" s="55">
        <f t="shared" si="7"/>
        <v>0</v>
      </c>
      <c r="O241" s="85"/>
      <c r="P241" s="84"/>
    </row>
    <row r="242" spans="1:16" x14ac:dyDescent="0.25">
      <c r="A242" s="34">
        <v>219.69324812443801</v>
      </c>
      <c r="B242" s="44">
        <v>128</v>
      </c>
      <c r="C242" t="str">
        <f>IF(ISERROR(VLOOKUP(B242,CLIENTES!A:B,2,0)),"",VLOOKUP(B242,CLIENTES!A:B,2,0))</f>
        <v>Ciribeth Guerrero</v>
      </c>
      <c r="D242" s="44" t="s">
        <v>9</v>
      </c>
      <c r="E242" s="45">
        <f>IF(ISERROR(VLOOKUP(D242,'Lista de Precio '!A:C,3,0)),"",VLOOKUP(D242,'Lista de Precio '!A:C,3,0))</f>
        <v>60</v>
      </c>
      <c r="F242" s="46"/>
      <c r="G242" s="47"/>
      <c r="H242" s="47"/>
      <c r="I242" s="47"/>
      <c r="J242" s="47"/>
      <c r="K242" s="47"/>
      <c r="L242" s="47"/>
      <c r="M242" s="47"/>
      <c r="N242" s="45">
        <f t="shared" si="7"/>
        <v>60</v>
      </c>
      <c r="O242" s="46"/>
      <c r="P242" s="44" t="s">
        <v>406</v>
      </c>
    </row>
    <row r="243" spans="1:16" x14ac:dyDescent="0.25">
      <c r="A243" s="34">
        <v>220.605445957169</v>
      </c>
      <c r="B243" s="39">
        <v>105</v>
      </c>
      <c r="C243" s="20" t="str">
        <f>IF(ISERROR(VLOOKUP(B243,CLIENTES!A:B,2,0)),"",VLOOKUP(B243,CLIENTES!A:B,2,0))</f>
        <v>Yonathan Gamez</v>
      </c>
      <c r="D243" s="39" t="s">
        <v>299</v>
      </c>
      <c r="E243" s="21">
        <f>IF(ISERROR(VLOOKUP(D243,'Lista de Precio '!A:C,3,0)),"",VLOOKUP(D243,'Lista de Precio '!A:C,3,0))</f>
        <v>80</v>
      </c>
      <c r="F243" s="40">
        <v>46116</v>
      </c>
      <c r="G243" s="41"/>
      <c r="H243" s="41"/>
      <c r="I243" s="41"/>
      <c r="J243" s="41"/>
      <c r="K243" s="41"/>
      <c r="L243" s="41"/>
      <c r="M243" s="41"/>
      <c r="N243" s="21">
        <f t="shared" si="7"/>
        <v>80</v>
      </c>
      <c r="O243" s="40"/>
      <c r="P243" s="39" t="s">
        <v>407</v>
      </c>
    </row>
    <row r="244" spans="1:16" ht="18.75" x14ac:dyDescent="0.3">
      <c r="A244" s="209" t="s">
        <v>436</v>
      </c>
      <c r="B244" s="210"/>
      <c r="C244" s="210"/>
      <c r="D244" s="210"/>
      <c r="E244" s="210"/>
      <c r="F244" s="210"/>
      <c r="G244" s="210"/>
      <c r="H244" s="210"/>
      <c r="I244" s="210"/>
      <c r="J244" s="210"/>
      <c r="K244" s="210"/>
      <c r="L244" s="210"/>
      <c r="M244" s="210"/>
      <c r="N244" s="210"/>
      <c r="O244" s="210"/>
      <c r="P244" s="211"/>
    </row>
    <row r="245" spans="1:16" x14ac:dyDescent="0.25">
      <c r="A245" s="34">
        <v>221.51764378990001</v>
      </c>
      <c r="B245" s="84">
        <v>151</v>
      </c>
      <c r="C245" s="89" t="str">
        <f>IF(ISERROR(VLOOKUP(B245,CLIENTES!A:B,2,0)),"",VLOOKUP(B245,CLIENTES!A:B,2,0))</f>
        <v>Yosber Boticario</v>
      </c>
      <c r="D245" s="84" t="s">
        <v>314</v>
      </c>
      <c r="E245" s="55">
        <f>IF(ISERROR(VLOOKUP(D245,'Lista de Precio '!A:C,3,0)),"",VLOOKUP(D245,'Lista de Precio '!A:C,3,0))</f>
        <v>60</v>
      </c>
      <c r="F245" s="85">
        <v>46123</v>
      </c>
      <c r="G245" s="86">
        <v>30</v>
      </c>
      <c r="H245" s="86">
        <v>30</v>
      </c>
      <c r="I245" s="86"/>
      <c r="J245" s="86"/>
      <c r="K245" s="86"/>
      <c r="L245" s="86"/>
      <c r="M245" s="86"/>
      <c r="N245" s="55">
        <f t="shared" si="7"/>
        <v>0</v>
      </c>
      <c r="O245" s="85"/>
      <c r="P245" s="84"/>
    </row>
    <row r="246" spans="1:16" x14ac:dyDescent="0.25">
      <c r="A246" s="34">
        <v>222.42984162263099</v>
      </c>
      <c r="B246" s="84">
        <v>124</v>
      </c>
      <c r="C246" s="54" t="str">
        <f>IF(ISERROR(VLOOKUP(B246,CLIENTES!A:B,2,0)),"",VLOOKUP(B246,CLIENTES!A:B,2,0))</f>
        <v>Edgar Oati</v>
      </c>
      <c r="D246" s="84" t="s">
        <v>179</v>
      </c>
      <c r="E246" s="55">
        <v>60</v>
      </c>
      <c r="F246" s="85">
        <v>46126</v>
      </c>
      <c r="G246" s="86"/>
      <c r="H246" s="86"/>
      <c r="I246" s="86"/>
      <c r="J246" s="86"/>
      <c r="K246" s="86"/>
      <c r="L246" s="86"/>
      <c r="M246" s="86"/>
      <c r="N246" s="55">
        <f t="shared" si="7"/>
        <v>60</v>
      </c>
      <c r="O246" s="85"/>
      <c r="P246" s="84"/>
    </row>
    <row r="247" spans="1:16" x14ac:dyDescent="0.25">
      <c r="A247" s="34">
        <v>223.342039455362</v>
      </c>
      <c r="B247" s="44">
        <v>147</v>
      </c>
      <c r="C247" t="str">
        <f>IF(ISERROR(VLOOKUP(B247,CLIENTES!A:B,2,0)),"",VLOOKUP(B247,CLIENTES!A:B,2,0))</f>
        <v>Cristian Yelismar</v>
      </c>
      <c r="D247" t="s">
        <v>321</v>
      </c>
      <c r="E247" s="45">
        <f>IF(ISERROR(VLOOKUP(D247,'Lista de Precio '!A:C,3,0)),"",VLOOKUP(D247,'Lista de Precio '!A:C,3,0))</f>
        <v>60</v>
      </c>
      <c r="F247" s="46">
        <v>46126</v>
      </c>
      <c r="G247" s="47">
        <v>30</v>
      </c>
      <c r="H247" s="47">
        <v>0</v>
      </c>
      <c r="I247" s="47"/>
      <c r="J247" s="47"/>
      <c r="K247" s="47"/>
      <c r="L247" s="47"/>
      <c r="M247" s="47"/>
      <c r="N247" s="45">
        <f t="shared" si="7"/>
        <v>30</v>
      </c>
      <c r="O247" s="46"/>
      <c r="P247" s="44"/>
    </row>
    <row r="248" spans="1:16" x14ac:dyDescent="0.25">
      <c r="A248" s="34">
        <v>224.25423728809301</v>
      </c>
      <c r="B248" s="39">
        <v>173</v>
      </c>
      <c r="C248" s="20" t="str">
        <f>IF(ISERROR(VLOOKUP(B248,CLIENTES!A:B,2,0)),"",VLOOKUP(B248,CLIENTES!A:B,2,0))</f>
        <v>Maria Estafany Lobo</v>
      </c>
      <c r="D248" s="20" t="s">
        <v>409</v>
      </c>
      <c r="E248" s="21">
        <f>IF(ISERROR(VLOOKUP(D248,'Lista de Precio '!A:C,3,0)),"",VLOOKUP(D248,'Lista de Precio '!A:C,3,0))</f>
        <v>90</v>
      </c>
      <c r="F248" s="40">
        <v>46126</v>
      </c>
      <c r="G248" s="41">
        <v>20</v>
      </c>
      <c r="H248" s="41">
        <v>20</v>
      </c>
      <c r="I248" s="41"/>
      <c r="J248" s="41"/>
      <c r="K248" s="41"/>
      <c r="L248" s="41"/>
      <c r="M248" s="41"/>
      <c r="N248" s="21">
        <f t="shared" si="7"/>
        <v>50</v>
      </c>
      <c r="O248" s="40"/>
      <c r="P248" s="39"/>
    </row>
    <row r="249" spans="1:16" x14ac:dyDescent="0.25">
      <c r="A249" s="34">
        <v>225.16643512082399</v>
      </c>
      <c r="B249" s="84">
        <v>174</v>
      </c>
      <c r="C249" s="89" t="str">
        <f>IF(ISERROR(VLOOKUP(B249,CLIENTES!A:B,2,0)),"",VLOOKUP(B249,CLIENTES!A:B,2,0))</f>
        <v>Norbedy Rojas</v>
      </c>
      <c r="D249" s="89" t="s">
        <v>413</v>
      </c>
      <c r="E249" s="55">
        <f>IF(ISERROR(VLOOKUP(D249,'Lista de Precio '!A:C,3,0)),"",VLOOKUP(D249,'Lista de Precio '!A:C,3,0))</f>
        <v>20</v>
      </c>
      <c r="F249" s="85">
        <v>46126</v>
      </c>
      <c r="G249" s="86">
        <v>20</v>
      </c>
      <c r="H249" s="86"/>
      <c r="I249" s="86"/>
      <c r="J249" s="86"/>
      <c r="K249" s="86"/>
      <c r="L249" s="86"/>
      <c r="M249" s="86"/>
      <c r="N249" s="55">
        <f t="shared" si="7"/>
        <v>0</v>
      </c>
      <c r="O249" s="85"/>
      <c r="P249" s="84"/>
    </row>
    <row r="250" spans="1:16" x14ac:dyDescent="0.25">
      <c r="A250" s="34">
        <v>226.078632953555</v>
      </c>
      <c r="B250" s="39">
        <v>175</v>
      </c>
      <c r="C250" s="20" t="str">
        <f>IF(ISERROR(VLOOKUP(B250,CLIENTES!A:B,2,0)),"",VLOOKUP(B250,CLIENTES!A:B,2,0))</f>
        <v>Anguel Circuito</v>
      </c>
      <c r="D250" s="20" t="s">
        <v>314</v>
      </c>
      <c r="E250" s="21">
        <f>IF(ISERROR(VLOOKUP(D250,'Lista de Precio '!A:C,3,0)),"",VLOOKUP(D250,'Lista de Precio '!A:C,3,0))</f>
        <v>60</v>
      </c>
      <c r="F250" s="40">
        <v>46126</v>
      </c>
      <c r="G250" s="41">
        <v>40</v>
      </c>
      <c r="H250" s="41"/>
      <c r="I250" s="41"/>
      <c r="J250" s="41"/>
      <c r="K250" s="41"/>
      <c r="L250" s="41"/>
      <c r="M250" s="41"/>
      <c r="N250" s="21">
        <f t="shared" si="7"/>
        <v>20</v>
      </c>
      <c r="O250" s="40"/>
      <c r="P250" s="39"/>
    </row>
    <row r="251" spans="1:16" x14ac:dyDescent="0.25">
      <c r="A251" s="34">
        <v>226.99083078628601</v>
      </c>
      <c r="B251" s="44">
        <v>117</v>
      </c>
      <c r="C251" t="str">
        <f>IF(ISERROR(VLOOKUP(B251,CLIENTES!A:B,2,0)),"",VLOOKUP(B251,CLIENTES!A:B,2,0))</f>
        <v>Yelismar Solano</v>
      </c>
      <c r="D251" t="s">
        <v>413</v>
      </c>
      <c r="E251" s="45">
        <f>IF(ISERROR(VLOOKUP(D251,'Lista de Precio '!A:C,3,0)),"",VLOOKUP(D251,'Lista de Precio '!A:C,3,0))</f>
        <v>20</v>
      </c>
      <c r="F251" s="46">
        <v>46125</v>
      </c>
      <c r="G251" s="47">
        <v>10</v>
      </c>
      <c r="H251" s="47">
        <v>5</v>
      </c>
      <c r="I251" s="47"/>
      <c r="J251" s="47"/>
      <c r="K251" s="47"/>
      <c r="L251" s="47"/>
      <c r="M251" s="47"/>
      <c r="N251" s="45">
        <f t="shared" si="7"/>
        <v>5</v>
      </c>
      <c r="O251" s="46"/>
      <c r="P251" s="44" t="s">
        <v>430</v>
      </c>
    </row>
    <row r="252" spans="1:16" x14ac:dyDescent="0.25">
      <c r="A252" s="34">
        <v>227.90302861901699</v>
      </c>
      <c r="B252" s="39">
        <v>147</v>
      </c>
      <c r="C252" s="20" t="str">
        <f>IF(ISERROR(VLOOKUP(B252,CLIENTES!A:B,2,0)),"",VLOOKUP(B252,CLIENTES!A:B,2,0))</f>
        <v>Cristian Yelismar</v>
      </c>
      <c r="D252" s="20" t="s">
        <v>9</v>
      </c>
      <c r="E252" s="21">
        <f>IF(ISERROR(VLOOKUP(D252,'Lista de Precio '!A:C,3,0)),"",VLOOKUP(D252,'Lista de Precio '!A:C,3,0))</f>
        <v>60</v>
      </c>
      <c r="F252" s="40">
        <v>46125</v>
      </c>
      <c r="G252" s="41">
        <v>30</v>
      </c>
      <c r="H252" s="41"/>
      <c r="I252" s="41"/>
      <c r="J252" s="41"/>
      <c r="K252" s="41"/>
      <c r="L252" s="41"/>
      <c r="M252" s="41"/>
      <c r="N252" s="21">
        <f t="shared" si="7"/>
        <v>30</v>
      </c>
      <c r="O252" s="40"/>
      <c r="P252" s="39"/>
    </row>
    <row r="253" spans="1:16" ht="15.75" thickBot="1" x14ac:dyDescent="0.3">
      <c r="A253" s="34">
        <v>228.815226451748</v>
      </c>
      <c r="B253" s="198">
        <v>158</v>
      </c>
      <c r="C253" s="199" t="str">
        <f>IF(ISERROR(VLOOKUP(B253,CLIENTES!A:B,2,0)),"",VLOOKUP(B253,CLIENTES!A:B,2,0))</f>
        <v>Pablo Dar</v>
      </c>
      <c r="D253" s="199" t="s">
        <v>415</v>
      </c>
      <c r="E253" s="200">
        <v>40</v>
      </c>
      <c r="F253" s="201">
        <v>46126</v>
      </c>
      <c r="G253" s="202">
        <v>40</v>
      </c>
      <c r="H253" s="202"/>
      <c r="I253" s="202"/>
      <c r="J253" s="202"/>
      <c r="K253" s="202"/>
      <c r="L253" s="202"/>
      <c r="M253" s="202"/>
      <c r="N253" s="200">
        <f t="shared" si="7"/>
        <v>0</v>
      </c>
      <c r="O253" s="201"/>
      <c r="P253" s="198"/>
    </row>
    <row r="254" spans="1:16" ht="15.75" thickTop="1" x14ac:dyDescent="0.25">
      <c r="A254" s="34">
        <v>229.72742428447901</v>
      </c>
      <c r="B254" s="39">
        <v>114</v>
      </c>
      <c r="C254" s="20" t="str">
        <f>IF(ISERROR(VLOOKUP(B254,CLIENTES!A:B,2,0)),"",VLOOKUP(B254,CLIENTES!A:B,2,0))</f>
        <v>Rosangela Medina</v>
      </c>
      <c r="D254" s="20" t="s">
        <v>411</v>
      </c>
      <c r="E254" s="21">
        <f>IF(ISERROR(VLOOKUP(D254,'Lista de Precio '!A:C,3,0)),"",VLOOKUP(D254,'Lista de Precio '!A:C,3,0))</f>
        <v>60</v>
      </c>
      <c r="F254" s="40">
        <v>45761</v>
      </c>
      <c r="G254" s="41">
        <v>20</v>
      </c>
      <c r="H254" s="41"/>
      <c r="I254" s="41"/>
      <c r="J254" s="41"/>
      <c r="K254" s="41"/>
      <c r="L254" s="41"/>
      <c r="M254" s="41"/>
      <c r="N254" s="21">
        <f t="shared" si="7"/>
        <v>40</v>
      </c>
      <c r="O254" s="40"/>
      <c r="P254" s="39"/>
    </row>
    <row r="255" spans="1:16" ht="15.75" x14ac:dyDescent="0.25">
      <c r="A255" s="34">
        <v>230.63962211721099</v>
      </c>
      <c r="B255" s="44">
        <v>152</v>
      </c>
      <c r="C255" t="str">
        <f>IF(ISERROR(VLOOKUP(B255,CLIENTES!A:B,2,0)),"",VLOOKUP(B255,CLIENTES!A:B,2,0))</f>
        <v>Rafael Molina</v>
      </c>
      <c r="D255" s="5" t="s">
        <v>200</v>
      </c>
      <c r="E255" s="45">
        <v>70</v>
      </c>
      <c r="F255" s="46">
        <v>45761</v>
      </c>
      <c r="G255" s="47">
        <v>20</v>
      </c>
      <c r="H255" s="47"/>
      <c r="I255" s="47"/>
      <c r="J255" s="47"/>
      <c r="K255" s="47"/>
      <c r="L255" s="47"/>
      <c r="M255" s="47"/>
      <c r="N255" s="45">
        <f t="shared" si="7"/>
        <v>50</v>
      </c>
      <c r="O255" s="46"/>
      <c r="P255" s="44"/>
    </row>
    <row r="256" spans="1:16" ht="15.75" x14ac:dyDescent="0.25">
      <c r="A256" s="34">
        <v>232.46401778267199</v>
      </c>
      <c r="B256" s="44">
        <v>150</v>
      </c>
      <c r="C256" t="str">
        <f>IF(ISERROR(VLOOKUP(B256,CLIENTES!A:B,2,0)),"",VLOOKUP(B256,CLIENTES!A:B,2,0))</f>
        <v>Andreina</v>
      </c>
      <c r="D256" s="5" t="s">
        <v>421</v>
      </c>
      <c r="E256" s="45">
        <f>IF(ISERROR(VLOOKUP(D256,'Lista de Precio '!A:C,3,0)),"",VLOOKUP(D256,'Lista de Precio '!A:C,3,0))</f>
        <v>60</v>
      </c>
      <c r="F256" s="46">
        <v>46126</v>
      </c>
      <c r="G256" s="47"/>
      <c r="H256" s="47"/>
      <c r="I256" s="47"/>
      <c r="J256" s="47"/>
      <c r="K256" s="47"/>
      <c r="L256" s="47"/>
      <c r="M256" s="47"/>
      <c r="N256" s="45">
        <f t="shared" si="7"/>
        <v>60</v>
      </c>
      <c r="O256" s="46"/>
      <c r="P256" s="44" t="s">
        <v>431</v>
      </c>
    </row>
    <row r="257" spans="1:16" x14ac:dyDescent="0.25">
      <c r="A257" s="34">
        <v>233.37621561540399</v>
      </c>
      <c r="B257" s="39">
        <v>150</v>
      </c>
      <c r="C257" s="20" t="str">
        <f>IF(ISERROR(VLOOKUP(B257,CLIENTES!A:B,2,0)),"",VLOOKUP(B257,CLIENTES!A:B,2,0))</f>
        <v>Andreina</v>
      </c>
      <c r="D257" s="39"/>
      <c r="E257" s="21">
        <v>20</v>
      </c>
      <c r="F257" s="40">
        <v>46126</v>
      </c>
      <c r="G257" s="41">
        <v>15</v>
      </c>
      <c r="H257" s="41"/>
      <c r="I257" s="41"/>
      <c r="J257" s="41"/>
      <c r="K257" s="41"/>
      <c r="L257" s="41"/>
      <c r="M257" s="41"/>
      <c r="N257" s="21">
        <v>20</v>
      </c>
      <c r="O257" s="40"/>
      <c r="P257" s="39" t="s">
        <v>432</v>
      </c>
    </row>
    <row r="258" spans="1:16" ht="15.75" x14ac:dyDescent="0.25">
      <c r="A258" s="34">
        <v>234.28841344813401</v>
      </c>
      <c r="B258" s="44">
        <v>150</v>
      </c>
      <c r="C258" t="str">
        <f>IF(ISERROR(VLOOKUP(B258,CLIENTES!A:B,2,0)),"",VLOOKUP(B258,CLIENTES!A:B,2,0))</f>
        <v>Andreina</v>
      </c>
      <c r="D258" s="5" t="s">
        <v>212</v>
      </c>
      <c r="E258" s="45">
        <v>20</v>
      </c>
      <c r="F258" s="46">
        <v>46126</v>
      </c>
      <c r="G258" s="47"/>
      <c r="H258" s="47"/>
      <c r="I258" s="47"/>
      <c r="J258" s="47"/>
      <c r="K258" s="47"/>
      <c r="L258" s="47"/>
      <c r="M258" s="47"/>
      <c r="N258" s="45">
        <v>20</v>
      </c>
      <c r="O258" s="46"/>
      <c r="P258" s="44" t="s">
        <v>433</v>
      </c>
    </row>
    <row r="259" spans="1:16" ht="15.75" x14ac:dyDescent="0.25">
      <c r="A259" s="34">
        <v>235.20061128086601</v>
      </c>
      <c r="B259" s="39">
        <v>150</v>
      </c>
      <c r="C259" s="20" t="str">
        <f>IF(ISERROR(VLOOKUP(B259,CLIENTES!A:B,2,0)),"",VLOOKUP(B259,CLIENTES!A:B,2,0))</f>
        <v>Andreina</v>
      </c>
      <c r="D259" s="8" t="s">
        <v>211</v>
      </c>
      <c r="E259" s="21">
        <v>20</v>
      </c>
      <c r="F259" s="40">
        <v>46126</v>
      </c>
      <c r="G259" s="41">
        <v>10</v>
      </c>
      <c r="H259" s="41"/>
      <c r="I259" s="41"/>
      <c r="J259" s="41"/>
      <c r="K259" s="41"/>
      <c r="L259" s="41"/>
      <c r="M259" s="41"/>
      <c r="N259" s="21">
        <v>20</v>
      </c>
      <c r="O259" s="40"/>
      <c r="P259" s="39" t="s">
        <v>433</v>
      </c>
    </row>
    <row r="260" spans="1:16" ht="15.75" x14ac:dyDescent="0.25">
      <c r="A260" s="34">
        <v>236.112809113596</v>
      </c>
      <c r="B260" s="44">
        <v>150</v>
      </c>
      <c r="C260" t="str">
        <f>IF(ISERROR(VLOOKUP(B260,CLIENTES!A:B,2,0)),"",VLOOKUP(B260,CLIENTES!A:B,2,0))</f>
        <v>Andreina</v>
      </c>
      <c r="D260" s="5" t="s">
        <v>414</v>
      </c>
      <c r="E260" s="45">
        <v>20</v>
      </c>
      <c r="F260" s="46">
        <v>46126</v>
      </c>
      <c r="G260" s="47"/>
      <c r="H260" s="47"/>
      <c r="I260" s="47"/>
      <c r="J260" s="47"/>
      <c r="K260" s="47"/>
      <c r="L260" s="47"/>
      <c r="M260" s="47"/>
      <c r="N260" s="45">
        <v>20</v>
      </c>
      <c r="O260" s="46"/>
      <c r="P260" s="44" t="s">
        <v>199</v>
      </c>
    </row>
    <row r="261" spans="1:16" x14ac:dyDescent="0.25">
      <c r="A261" s="34">
        <v>237.02500694632701</v>
      </c>
      <c r="B261" s="39">
        <v>150</v>
      </c>
      <c r="C261" s="20" t="str">
        <f>IF(ISERROR(VLOOKUP(B261,CLIENTES!A:B,2,0)),"",VLOOKUP(B261,CLIENTES!A:B,2,0))</f>
        <v>Andreina</v>
      </c>
      <c r="D261" s="39" t="s">
        <v>314</v>
      </c>
      <c r="E261" s="21">
        <f>IF(ISERROR(VLOOKUP(D261,'Lista de Precio '!A:C,3,0)),"",VLOOKUP(D261,'Lista de Precio '!A:C,3,0))</f>
        <v>60</v>
      </c>
      <c r="F261" s="40">
        <v>46126</v>
      </c>
      <c r="G261" s="41"/>
      <c r="H261" s="41"/>
      <c r="I261" s="41"/>
      <c r="J261" s="41"/>
      <c r="K261" s="41"/>
      <c r="L261" s="41"/>
      <c r="M261" s="41"/>
      <c r="N261" s="21">
        <f t="shared" si="7"/>
        <v>60</v>
      </c>
      <c r="O261" s="40"/>
      <c r="P261" s="39" t="s">
        <v>434</v>
      </c>
    </row>
    <row r="262" spans="1:16" x14ac:dyDescent="0.25">
      <c r="A262" s="34">
        <v>237.93720477905899</v>
      </c>
      <c r="B262" s="44">
        <v>150</v>
      </c>
      <c r="C262" t="str">
        <f>IF(ISERROR(VLOOKUP(B262,CLIENTES!A:B,2,0)),"",VLOOKUP(B262,CLIENTES!A:B,2,0))</f>
        <v>Andreina</v>
      </c>
      <c r="D262" s="44" t="s">
        <v>179</v>
      </c>
      <c r="E262" s="45">
        <v>60</v>
      </c>
      <c r="F262" s="46">
        <v>46126</v>
      </c>
      <c r="G262" s="47"/>
      <c r="H262" s="47"/>
      <c r="I262" s="47"/>
      <c r="J262" s="47"/>
      <c r="K262" s="47"/>
      <c r="L262" s="47"/>
      <c r="M262" s="47"/>
      <c r="N262" s="45">
        <f t="shared" si="7"/>
        <v>60</v>
      </c>
      <c r="O262" s="46"/>
      <c r="P262" s="44" t="s">
        <v>435</v>
      </c>
    </row>
    <row r="263" spans="1:16" x14ac:dyDescent="0.25">
      <c r="A263" s="34">
        <v>238.84940261179</v>
      </c>
      <c r="B263" s="84">
        <v>117</v>
      </c>
      <c r="C263" s="54" t="str">
        <f>IF(ISERROR(VLOOKUP(B263,CLIENTES!A:B,2,0)),"",VLOOKUP(B263,CLIENTES!A:B,2,0))</f>
        <v>Yelismar Solano</v>
      </c>
      <c r="D263" s="54" t="s">
        <v>8</v>
      </c>
      <c r="E263" s="55">
        <f>IF(ISERROR(VLOOKUP(D263,'Lista de Precio '!A:C,3,0)),"",VLOOKUP(D263,'Lista de Precio '!A:C,3,0))</f>
        <v>60</v>
      </c>
      <c r="F263" s="85">
        <v>46126</v>
      </c>
      <c r="G263" s="86"/>
      <c r="H263" s="86"/>
      <c r="I263" s="86"/>
      <c r="J263" s="86"/>
      <c r="K263" s="86"/>
      <c r="L263" s="86"/>
      <c r="M263" s="86"/>
      <c r="N263" s="55">
        <f t="shared" si="7"/>
        <v>60</v>
      </c>
      <c r="O263" s="85"/>
      <c r="P263" s="84"/>
    </row>
    <row r="264" spans="1:16" ht="15.75" x14ac:dyDescent="0.25">
      <c r="A264" s="34">
        <v>239.76160044452101</v>
      </c>
      <c r="B264" s="44">
        <v>176</v>
      </c>
      <c r="C264" t="str">
        <f>IF(ISERROR(VLOOKUP(B264,CLIENTES!A:B,2,0)),"",VLOOKUP(B264,CLIENTES!A:B,2,0))</f>
        <v>Daniel Angulo</v>
      </c>
      <c r="D264" s="5" t="s">
        <v>206</v>
      </c>
      <c r="E264" s="45">
        <v>55</v>
      </c>
      <c r="F264" s="46">
        <v>46127</v>
      </c>
      <c r="G264" s="47">
        <v>40</v>
      </c>
      <c r="H264" s="47"/>
      <c r="I264" s="47"/>
      <c r="J264" s="47"/>
      <c r="K264" s="47"/>
      <c r="L264" s="47"/>
      <c r="M264" s="47"/>
      <c r="N264" s="45">
        <f t="shared" si="7"/>
        <v>15</v>
      </c>
      <c r="O264" s="46"/>
      <c r="P264" s="44"/>
    </row>
    <row r="265" spans="1:16" ht="15.75" x14ac:dyDescent="0.25">
      <c r="A265" s="34">
        <v>240.67379827725199</v>
      </c>
      <c r="B265" s="39">
        <v>176</v>
      </c>
      <c r="C265" s="20" t="str">
        <f>IF(ISERROR(VLOOKUP(B265,CLIENTES!A:B,2,0)),"",VLOOKUP(B265,CLIENTES!A:B,2,0))</f>
        <v>Daniel Angulo</v>
      </c>
      <c r="D265" s="8" t="s">
        <v>203</v>
      </c>
      <c r="E265" s="21">
        <f>IF(ISERROR(VLOOKUP(D265,'Lista de Precio '!A:C,3,0)),"",VLOOKUP(D265,'Lista de Precio '!A:C,3,0))</f>
        <v>60</v>
      </c>
      <c r="F265" s="40">
        <v>46127</v>
      </c>
      <c r="G265" s="41">
        <v>45</v>
      </c>
      <c r="H265" s="41"/>
      <c r="I265" s="41"/>
      <c r="J265" s="41"/>
      <c r="K265" s="41"/>
      <c r="L265" s="41"/>
      <c r="M265" s="41"/>
      <c r="N265" s="21">
        <f t="shared" si="7"/>
        <v>15</v>
      </c>
      <c r="O265" s="40"/>
      <c r="P265" s="39"/>
    </row>
    <row r="266" spans="1:16" ht="15.75" x14ac:dyDescent="0.25">
      <c r="A266" s="34">
        <v>241.585996109983</v>
      </c>
      <c r="B266" s="44">
        <v>176</v>
      </c>
      <c r="C266" t="str">
        <f>IF(ISERROR(VLOOKUP(B266,CLIENTES!A:B,2,0)),"",VLOOKUP(B266,CLIENTES!A:B,2,0))</f>
        <v>Daniel Angulo</v>
      </c>
      <c r="D266" s="8" t="s">
        <v>211</v>
      </c>
      <c r="E266" s="45">
        <f>IF(ISERROR(VLOOKUP(D266,'Lista de Precio '!A:C,3,0)),"",VLOOKUP(D266,'Lista de Precio '!A:C,3,0))</f>
        <v>20</v>
      </c>
      <c r="F266" s="46">
        <v>46127</v>
      </c>
      <c r="G266" s="47">
        <v>30</v>
      </c>
      <c r="H266" s="47"/>
      <c r="I266" s="47"/>
      <c r="J266" s="47"/>
      <c r="K266" s="47"/>
      <c r="L266" s="47"/>
      <c r="M266" s="47"/>
      <c r="N266" s="45">
        <f t="shared" si="7"/>
        <v>-10</v>
      </c>
      <c r="O266" s="46"/>
      <c r="P266" s="44"/>
    </row>
    <row r="267" spans="1:16" ht="15.75" x14ac:dyDescent="0.25">
      <c r="A267" s="34">
        <v>242.49819394271401</v>
      </c>
      <c r="B267" s="39">
        <v>119</v>
      </c>
      <c r="C267" s="20" t="str">
        <f>IF(ISERROR(VLOOKUP(B267,CLIENTES!A:B,2,0)),"",VLOOKUP(B267,CLIENTES!A:B,2,0))</f>
        <v>Hector Hidromaticos</v>
      </c>
      <c r="D267" s="8" t="s">
        <v>314</v>
      </c>
      <c r="E267" s="21">
        <f>IF(ISERROR(VLOOKUP(D267,'Lista de Precio '!A:C,3,0)),"",VLOOKUP(D267,'Lista de Precio '!A:C,3,0))</f>
        <v>60</v>
      </c>
      <c r="F267" s="40">
        <v>46130</v>
      </c>
      <c r="G267" s="41"/>
      <c r="H267" s="41"/>
      <c r="I267" s="41"/>
      <c r="J267" s="41"/>
      <c r="K267" s="41"/>
      <c r="L267" s="41"/>
      <c r="M267" s="41"/>
      <c r="N267" s="21">
        <f t="shared" si="7"/>
        <v>60</v>
      </c>
      <c r="O267" s="40"/>
      <c r="P267" s="39"/>
    </row>
    <row r="268" spans="1:16" ht="15.75" x14ac:dyDescent="0.25">
      <c r="A268" s="34">
        <v>243.41039177544499</v>
      </c>
      <c r="B268" s="44">
        <v>119</v>
      </c>
      <c r="C268" t="str">
        <f>IF(ISERROR(VLOOKUP(B268,CLIENTES!A:B,2,0)),"",VLOOKUP(B268,CLIENTES!A:B,2,0))</f>
        <v>Hector Hidromaticos</v>
      </c>
      <c r="D268" s="5" t="s">
        <v>417</v>
      </c>
      <c r="E268" s="45">
        <f>IF(ISERROR(VLOOKUP(D268,'Lista de Precio '!A:C,3,0)),"",VLOOKUP(D268,'Lista de Precio '!A:C,3,0))</f>
        <v>60</v>
      </c>
      <c r="F268" s="46">
        <v>46130</v>
      </c>
      <c r="G268" s="47"/>
      <c r="H268" s="47"/>
      <c r="I268" s="47"/>
      <c r="J268" s="47"/>
      <c r="K268" s="47"/>
      <c r="L268" s="47"/>
      <c r="M268" s="47"/>
      <c r="N268" s="45">
        <f t="shared" si="7"/>
        <v>60</v>
      </c>
      <c r="O268" s="46"/>
      <c r="P268" s="44"/>
    </row>
    <row r="269" spans="1:16" x14ac:dyDescent="0.25">
      <c r="A269" s="34">
        <v>244.322589608176</v>
      </c>
      <c r="B269" s="39">
        <v>120</v>
      </c>
      <c r="C269" s="20" t="str">
        <f>IF(ISERROR(VLOOKUP(B269,CLIENTES!A:B,2,0)),"",VLOOKUP(B269,CLIENTES!A:B,2,0))</f>
        <v>Junior Hidromaticos</v>
      </c>
      <c r="D269" s="39" t="s">
        <v>45</v>
      </c>
      <c r="E269" s="21">
        <v>45</v>
      </c>
      <c r="F269" s="40">
        <v>46130</v>
      </c>
      <c r="G269" s="41"/>
      <c r="H269" s="41"/>
      <c r="I269" s="41"/>
      <c r="J269" s="41"/>
      <c r="K269" s="41"/>
      <c r="L269" s="41"/>
      <c r="M269" s="41"/>
      <c r="N269" s="21">
        <f t="shared" si="7"/>
        <v>45</v>
      </c>
      <c r="O269" s="40"/>
      <c r="P269" s="39"/>
    </row>
    <row r="270" spans="1:16" x14ac:dyDescent="0.25">
      <c r="A270" s="34">
        <v>245.23478744090701</v>
      </c>
      <c r="B270" s="44">
        <v>120</v>
      </c>
      <c r="C270" t="str">
        <f>IF(ISERROR(VLOOKUP(B270,CLIENTES!A:B,2,0)),"",VLOOKUP(B270,CLIENTES!A:B,2,0))</f>
        <v>Junior Hidromaticos</v>
      </c>
      <c r="D270" s="44" t="s">
        <v>314</v>
      </c>
      <c r="E270" s="45">
        <f>IF(ISERROR(VLOOKUP(D270,'Lista de Precio '!A:C,3,0)),"",VLOOKUP(D270,'Lista de Precio '!A:C,3,0))</f>
        <v>60</v>
      </c>
      <c r="F270" s="46">
        <v>46130</v>
      </c>
      <c r="G270" s="47"/>
      <c r="H270" s="47"/>
      <c r="I270" s="47"/>
      <c r="J270" s="47"/>
      <c r="K270" s="47"/>
      <c r="L270" s="47"/>
      <c r="M270" s="47"/>
      <c r="N270" s="45">
        <f t="shared" si="7"/>
        <v>60</v>
      </c>
      <c r="O270" s="46"/>
      <c r="P270" s="44"/>
    </row>
    <row r="271" spans="1:16" x14ac:dyDescent="0.25">
      <c r="A271" s="34">
        <v>246.14698527363799</v>
      </c>
      <c r="B271" s="39">
        <v>120</v>
      </c>
      <c r="C271" s="20" t="str">
        <f>IF(ISERROR(VLOOKUP(B271,CLIENTES!A:B,2,0)),"",VLOOKUP(B271,CLIENTES!A:B,2,0))</f>
        <v>Junior Hidromaticos</v>
      </c>
      <c r="D271" s="39" t="s">
        <v>205</v>
      </c>
      <c r="E271" s="21">
        <v>55</v>
      </c>
      <c r="F271" s="40">
        <v>46130</v>
      </c>
      <c r="G271" s="41"/>
      <c r="H271" s="41"/>
      <c r="I271" s="41"/>
      <c r="J271" s="41"/>
      <c r="K271" s="41"/>
      <c r="L271" s="41"/>
      <c r="M271" s="41"/>
      <c r="N271" s="21">
        <f t="shared" si="7"/>
        <v>55</v>
      </c>
      <c r="O271" s="40"/>
      <c r="P271" s="39"/>
    </row>
    <row r="272" spans="1:16" x14ac:dyDescent="0.25">
      <c r="A272" s="34">
        <v>247.05918310636901</v>
      </c>
      <c r="B272" s="44">
        <v>120</v>
      </c>
      <c r="C272" t="str">
        <f>IF(ISERROR(VLOOKUP(B272,CLIENTES!A:B,2,0)),"",VLOOKUP(B272,CLIENTES!A:B,2,0))</f>
        <v>Junior Hidromaticos</v>
      </c>
      <c r="D272" s="44" t="s">
        <v>9</v>
      </c>
      <c r="E272" s="45">
        <f>IF(ISERROR(VLOOKUP(D272,'Lista de Precio '!A:C,3,0)),"",VLOOKUP(D272,'Lista de Precio '!A:C,3,0))</f>
        <v>60</v>
      </c>
      <c r="F272" s="46">
        <v>46130</v>
      </c>
      <c r="G272" s="47"/>
      <c r="H272" s="47"/>
      <c r="I272" s="47"/>
      <c r="J272" s="47"/>
      <c r="K272" s="47"/>
      <c r="L272" s="47"/>
      <c r="M272" s="47"/>
      <c r="N272" s="45">
        <f t="shared" si="7"/>
        <v>60</v>
      </c>
      <c r="O272" s="46"/>
      <c r="P272" s="44"/>
    </row>
    <row r="273" spans="1:16" x14ac:dyDescent="0.25">
      <c r="A273" s="34">
        <v>247.97138093909999</v>
      </c>
      <c r="B273" s="39">
        <v>137</v>
      </c>
      <c r="C273" s="20" t="str">
        <f>IF(ISERROR(VLOOKUP(B273,CLIENTES!A:B,2,0)),"",VLOOKUP(B273,CLIENTES!A:B,2,0))</f>
        <v>Diana Ardila</v>
      </c>
      <c r="D273" s="39" t="s">
        <v>42</v>
      </c>
      <c r="E273" s="21">
        <v>55</v>
      </c>
      <c r="F273" s="40">
        <v>46130</v>
      </c>
      <c r="G273" s="41"/>
      <c r="H273" s="41"/>
      <c r="I273" s="41"/>
      <c r="J273" s="41"/>
      <c r="K273" s="41"/>
      <c r="L273" s="41"/>
      <c r="M273" s="41"/>
      <c r="N273" s="21">
        <f t="shared" si="7"/>
        <v>55</v>
      </c>
      <c r="O273" s="40"/>
      <c r="P273" s="39"/>
    </row>
    <row r="274" spans="1:16" ht="15.75" x14ac:dyDescent="0.25">
      <c r="A274" s="34">
        <v>248.883578771831</v>
      </c>
      <c r="B274" s="44">
        <v>117</v>
      </c>
      <c r="C274" t="str">
        <f>IF(ISERROR(VLOOKUP(B274,CLIENTES!A:B,2,0)),"",VLOOKUP(B274,CLIENTES!A:B,2,0))</f>
        <v>Yelismar Solano</v>
      </c>
      <c r="D274" s="5" t="s">
        <v>412</v>
      </c>
      <c r="E274" s="45">
        <f>IF(ISERROR(VLOOKUP(D274,'Lista de Precio '!A:C,3,0)),"",VLOOKUP(D274,'Lista de Precio '!A:C,3,0))</f>
        <v>20</v>
      </c>
      <c r="F274" s="46">
        <v>46126</v>
      </c>
      <c r="G274" s="47"/>
      <c r="H274" s="47"/>
      <c r="I274" s="47"/>
      <c r="J274" s="47"/>
      <c r="K274" s="47"/>
      <c r="L274" s="47"/>
      <c r="M274" s="47"/>
      <c r="N274" s="45">
        <f t="shared" si="7"/>
        <v>20</v>
      </c>
      <c r="O274" s="46"/>
      <c r="P274" s="44" t="s">
        <v>438</v>
      </c>
    </row>
    <row r="275" spans="1:16" x14ac:dyDescent="0.25">
      <c r="A275" s="34">
        <v>249.79577660456201</v>
      </c>
      <c r="B275" s="184">
        <v>117</v>
      </c>
      <c r="C275" s="183" t="str">
        <f>IF(ISERROR(VLOOKUP(B275,CLIENTES!A:B,2,0)),"",VLOOKUP(B275,CLIENTES!A:B,2,0))</f>
        <v>Yelismar Solano</v>
      </c>
      <c r="D275" s="184" t="s">
        <v>212</v>
      </c>
      <c r="E275" s="185">
        <f>IF(ISERROR(VLOOKUP(D275,'Lista de Precio '!A:C,3,0)),"",VLOOKUP(D275,'Lista de Precio '!A:C,3,0))</f>
        <v>20</v>
      </c>
      <c r="F275" s="186">
        <v>46126</v>
      </c>
      <c r="G275" s="187"/>
      <c r="H275" s="187"/>
      <c r="I275" s="187"/>
      <c r="J275" s="187"/>
      <c r="K275" s="187"/>
      <c r="L275" s="187"/>
      <c r="M275" s="187"/>
      <c r="N275" s="185">
        <f t="shared" si="7"/>
        <v>20</v>
      </c>
      <c r="O275" s="186"/>
      <c r="P275" s="184" t="s">
        <v>439</v>
      </c>
    </row>
    <row r="276" spans="1:16" ht="15.75" x14ac:dyDescent="0.25">
      <c r="A276" s="34">
        <v>250.70797443729299</v>
      </c>
      <c r="B276" s="44">
        <v>148</v>
      </c>
      <c r="C276" t="str">
        <f>IF(ISERROR(VLOOKUP(B276,CLIENTES!A:B,2,0)),"",VLOOKUP(B276,CLIENTES!A:B,2,0))</f>
        <v>Jair Hidromaticos</v>
      </c>
      <c r="D276" s="5" t="s">
        <v>328</v>
      </c>
      <c r="E276" s="45">
        <v>45</v>
      </c>
      <c r="F276" s="46">
        <v>46131</v>
      </c>
      <c r="G276" s="47"/>
      <c r="H276" s="47"/>
      <c r="I276" s="47"/>
      <c r="J276" s="47"/>
      <c r="K276" s="47"/>
      <c r="L276" s="47"/>
      <c r="M276" s="47"/>
      <c r="N276" s="45">
        <f t="shared" ref="N276:N330" si="8">IF(D276="","",E276-G276-H276-I276-J276)</f>
        <v>45</v>
      </c>
      <c r="O276" s="46"/>
      <c r="P276" s="44"/>
    </row>
    <row r="277" spans="1:16" x14ac:dyDescent="0.25">
      <c r="A277" s="34">
        <v>251.620172270024</v>
      </c>
      <c r="B277" s="39">
        <v>148</v>
      </c>
      <c r="C277" s="20" t="str">
        <f>IF(ISERROR(VLOOKUP(B277,CLIENTES!A:B,2,0)),"",VLOOKUP(B277,CLIENTES!A:B,2,0))</f>
        <v>Jair Hidromaticos</v>
      </c>
      <c r="D277" s="39" t="s">
        <v>302</v>
      </c>
      <c r="E277" s="21">
        <v>60</v>
      </c>
      <c r="F277" s="40">
        <v>46131</v>
      </c>
      <c r="G277" s="41"/>
      <c r="H277" s="41"/>
      <c r="I277" s="41"/>
      <c r="J277" s="41"/>
      <c r="K277" s="41"/>
      <c r="L277" s="41"/>
      <c r="M277" s="41"/>
      <c r="N277" s="21">
        <f t="shared" si="8"/>
        <v>60</v>
      </c>
      <c r="O277" s="40"/>
      <c r="P277" s="39"/>
    </row>
    <row r="278" spans="1:16" x14ac:dyDescent="0.25">
      <c r="A278" s="34">
        <v>252.53237010275501</v>
      </c>
      <c r="B278" s="44">
        <v>172</v>
      </c>
      <c r="C278" t="str">
        <f>IF(ISERROR(VLOOKUP(B278,CLIENTES!A:B,2,0)),"",VLOOKUP(B278,CLIENTES!A:B,2,0))</f>
        <v>Kawy</v>
      </c>
      <c r="D278" s="44" t="s">
        <v>314</v>
      </c>
      <c r="E278" s="45">
        <f>IF(ISERROR(VLOOKUP(D278,'Lista de Precio '!A:C,3,0)),"",VLOOKUP(D278,'Lista de Precio '!A:C,3,0))</f>
        <v>60</v>
      </c>
      <c r="F278" s="46">
        <v>46134</v>
      </c>
      <c r="G278" s="47">
        <v>20</v>
      </c>
      <c r="H278" s="47">
        <v>20</v>
      </c>
      <c r="I278" s="47"/>
      <c r="J278" s="47"/>
      <c r="K278" s="47"/>
      <c r="L278" s="47"/>
      <c r="M278" s="47"/>
      <c r="N278" s="45">
        <f t="shared" si="8"/>
        <v>20</v>
      </c>
      <c r="O278" s="46"/>
      <c r="P278" s="44"/>
    </row>
    <row r="279" spans="1:16" x14ac:dyDescent="0.25">
      <c r="A279" s="34">
        <v>253.44456793548599</v>
      </c>
      <c r="B279" s="39">
        <v>177</v>
      </c>
      <c r="C279" s="20" t="str">
        <f>IF(ISERROR(VLOOKUP(B279,CLIENTES!A:B,2,0)),"",VLOOKUP(B279,CLIENTES!A:B,2,0))</f>
        <v>Yamira Dar Cesta Tiket</v>
      </c>
      <c r="D279" s="39" t="s">
        <v>15</v>
      </c>
      <c r="E279" s="21">
        <v>80</v>
      </c>
      <c r="F279" s="40">
        <v>46134</v>
      </c>
      <c r="G279" s="41">
        <v>17</v>
      </c>
      <c r="H279" s="41">
        <v>20</v>
      </c>
      <c r="I279" s="41"/>
      <c r="J279" s="41"/>
      <c r="K279" s="41"/>
      <c r="L279" s="41"/>
      <c r="M279" s="41"/>
      <c r="N279" s="21">
        <f t="shared" si="8"/>
        <v>43</v>
      </c>
      <c r="O279" s="40"/>
      <c r="P279" s="39"/>
    </row>
    <row r="280" spans="1:16" x14ac:dyDescent="0.25">
      <c r="A280" s="34">
        <v>254.356765768217</v>
      </c>
      <c r="B280" s="44">
        <v>178</v>
      </c>
      <c r="C280" t="str">
        <f>IF(ISERROR(VLOOKUP(B280,CLIENTES!A:B,2,0)),"",VLOOKUP(B280,CLIENTES!A:B,2,0))</f>
        <v>Miguel Abril Mensajero</v>
      </c>
      <c r="D280" s="44" t="s">
        <v>206</v>
      </c>
      <c r="E280" s="45">
        <v>60</v>
      </c>
      <c r="F280" s="46">
        <v>46136</v>
      </c>
      <c r="G280" s="47">
        <v>20</v>
      </c>
      <c r="H280" s="47"/>
      <c r="I280" s="47"/>
      <c r="J280" s="47"/>
      <c r="K280" s="47"/>
      <c r="L280" s="47"/>
      <c r="M280" s="47"/>
      <c r="N280" s="45">
        <f t="shared" si="8"/>
        <v>40</v>
      </c>
      <c r="O280" s="46"/>
      <c r="P280" s="44"/>
    </row>
    <row r="281" spans="1:16" x14ac:dyDescent="0.25">
      <c r="A281" s="34">
        <v>255.26896360094801</v>
      </c>
      <c r="B281" s="39">
        <v>136</v>
      </c>
      <c r="C281" s="20" t="str">
        <f>IF(ISERROR(VLOOKUP(B281,CLIENTES!A:B,2,0)),"",VLOOKUP(B281,CLIENTES!A:B,2,0))</f>
        <v>Luis Rivero</v>
      </c>
      <c r="D281" s="39" t="s">
        <v>416</v>
      </c>
      <c r="E281" s="21">
        <f>IF(ISERROR(VLOOKUP(D281,'Lista de Precio '!A:C,3,0)),"",VLOOKUP(D281,'Lista de Precio '!A:C,3,0))</f>
        <v>60</v>
      </c>
      <c r="F281" s="40">
        <v>46135</v>
      </c>
      <c r="G281" s="41"/>
      <c r="H281" s="41"/>
      <c r="I281" s="41"/>
      <c r="J281" s="41"/>
      <c r="K281" s="41"/>
      <c r="L281" s="41"/>
      <c r="M281" s="41"/>
      <c r="N281" s="21">
        <f t="shared" si="8"/>
        <v>60</v>
      </c>
      <c r="O281" s="40"/>
      <c r="P281" s="39" t="s">
        <v>442</v>
      </c>
    </row>
    <row r="282" spans="1:16" x14ac:dyDescent="0.25">
      <c r="A282" s="34">
        <v>256.18116143367899</v>
      </c>
      <c r="B282" s="44">
        <v>136</v>
      </c>
      <c r="C282" t="str">
        <f>IF(ISERROR(VLOOKUP(B282,CLIENTES!A:B,2,0)),"",VLOOKUP(B282,CLIENTES!A:B,2,0))</f>
        <v>Luis Rivero</v>
      </c>
      <c r="D282" s="44" t="s">
        <v>325</v>
      </c>
      <c r="E282" s="45">
        <v>60</v>
      </c>
      <c r="F282" s="46">
        <v>46135</v>
      </c>
      <c r="G282" s="47"/>
      <c r="H282" s="47"/>
      <c r="I282" s="47"/>
      <c r="J282" s="47"/>
      <c r="K282" s="47"/>
      <c r="L282" s="47"/>
      <c r="M282" s="47"/>
      <c r="N282" s="45">
        <f t="shared" si="8"/>
        <v>60</v>
      </c>
      <c r="O282" s="46"/>
      <c r="P282" s="39" t="s">
        <v>442</v>
      </c>
    </row>
    <row r="283" spans="1:16" x14ac:dyDescent="0.25">
      <c r="A283" s="34">
        <v>257.09335926641</v>
      </c>
      <c r="B283" s="39">
        <v>136</v>
      </c>
      <c r="C283" s="20" t="str">
        <f>IF(ISERROR(VLOOKUP(B283,CLIENTES!A:B,2,0)),"",VLOOKUP(B283,CLIENTES!A:B,2,0))</f>
        <v>Luis Rivero</v>
      </c>
      <c r="D283" s="39" t="s">
        <v>417</v>
      </c>
      <c r="E283" s="21">
        <f>IF(ISERROR(VLOOKUP(D283,'Lista de Precio '!A:C,3,0)),"",VLOOKUP(D283,'Lista de Precio '!A:C,3,0))</f>
        <v>60</v>
      </c>
      <c r="F283" s="40">
        <v>46135</v>
      </c>
      <c r="G283" s="41">
        <v>10.94</v>
      </c>
      <c r="H283" s="41"/>
      <c r="I283" s="41"/>
      <c r="J283" s="41"/>
      <c r="K283" s="41"/>
      <c r="L283" s="41"/>
      <c r="M283" s="41"/>
      <c r="N283" s="21">
        <f t="shared" si="8"/>
        <v>49.06</v>
      </c>
      <c r="O283" s="40"/>
      <c r="P283" s="39" t="s">
        <v>443</v>
      </c>
    </row>
    <row r="284" spans="1:16" x14ac:dyDescent="0.25">
      <c r="A284" s="34">
        <v>258.00555709914101</v>
      </c>
      <c r="B284" s="44">
        <v>136</v>
      </c>
      <c r="C284" t="str">
        <f>IF(ISERROR(VLOOKUP(B284,CLIENTES!A:B,2,0)),"",VLOOKUP(B284,CLIENTES!A:B,2,0))</f>
        <v>Luis Rivero</v>
      </c>
      <c r="D284" s="44" t="s">
        <v>322</v>
      </c>
      <c r="E284" s="45">
        <f>IF(ISERROR(VLOOKUP(D284,'Lista de Precio '!A:C,3,0)),"",VLOOKUP(D284,'Lista de Precio '!A:C,3,0))</f>
        <v>35</v>
      </c>
      <c r="F284" s="46">
        <v>46135</v>
      </c>
      <c r="G284" s="47">
        <v>19.66</v>
      </c>
      <c r="H284" s="47"/>
      <c r="I284" s="47"/>
      <c r="J284" s="47"/>
      <c r="K284" s="47"/>
      <c r="L284" s="47"/>
      <c r="M284" s="47"/>
      <c r="N284" s="45">
        <f t="shared" si="8"/>
        <v>15.34</v>
      </c>
      <c r="O284" s="46"/>
      <c r="P284" s="44" t="s">
        <v>444</v>
      </c>
    </row>
    <row r="285" spans="1:16" x14ac:dyDescent="0.25">
      <c r="A285" s="34">
        <v>258.91775493187203</v>
      </c>
      <c r="B285" s="39">
        <v>136</v>
      </c>
      <c r="C285" s="20" t="str">
        <f>IF(ISERROR(VLOOKUP(B285,CLIENTES!A:B,2,0)),"",VLOOKUP(B285,CLIENTES!A:B,2,0))</f>
        <v>Luis Rivero</v>
      </c>
      <c r="D285" s="39" t="s">
        <v>418</v>
      </c>
      <c r="E285" s="21">
        <f>IF(ISERROR(VLOOKUP(D285,'Lista de Precio '!A:C,3,0)),"",VLOOKUP(D285,'Lista de Precio '!A:C,3,0))</f>
        <v>65</v>
      </c>
      <c r="F285" s="40">
        <v>46136</v>
      </c>
      <c r="G285" s="41">
        <v>11.83</v>
      </c>
      <c r="H285" s="41"/>
      <c r="I285" s="41"/>
      <c r="J285" s="41"/>
      <c r="K285" s="41"/>
      <c r="L285" s="41"/>
      <c r="M285" s="41"/>
      <c r="N285" s="21">
        <f t="shared" si="8"/>
        <v>53.17</v>
      </c>
      <c r="O285" s="40"/>
      <c r="P285" s="39" t="s">
        <v>445</v>
      </c>
    </row>
    <row r="286" spans="1:16" x14ac:dyDescent="0.25">
      <c r="A286" s="34">
        <v>259.82995276460298</v>
      </c>
      <c r="B286" s="44">
        <v>136</v>
      </c>
      <c r="C286" t="str">
        <f>IF(ISERROR(VLOOKUP(B286,CLIENTES!A:B,2,0)),"",VLOOKUP(B286,CLIENTES!A:B,2,0))</f>
        <v>Luis Rivero</v>
      </c>
      <c r="D286" s="44" t="s">
        <v>408</v>
      </c>
      <c r="E286" s="45">
        <f>IF(ISERROR(VLOOKUP(D286,'Lista de Precio '!A:C,3,0)),"",VLOOKUP(D286,'Lista de Precio '!A:C,3,0))</f>
        <v>60</v>
      </c>
      <c r="F286" s="46">
        <v>46135</v>
      </c>
      <c r="G286" s="47"/>
      <c r="H286" s="47"/>
      <c r="I286" s="47"/>
      <c r="J286" s="47"/>
      <c r="K286" s="47"/>
      <c r="L286" s="47"/>
      <c r="M286" s="47"/>
      <c r="N286" s="45">
        <f t="shared" si="8"/>
        <v>60</v>
      </c>
      <c r="O286" s="46"/>
      <c r="P286" s="44" t="s">
        <v>446</v>
      </c>
    </row>
    <row r="287" spans="1:16" x14ac:dyDescent="0.25">
      <c r="A287" s="34">
        <v>260.74215059733399</v>
      </c>
      <c r="B287" s="39">
        <v>136</v>
      </c>
      <c r="C287" s="20" t="str">
        <f>IF(ISERROR(VLOOKUP(B287,CLIENTES!A:B,2,0)),"",VLOOKUP(B287,CLIENTES!A:B,2,0))</f>
        <v>Luis Rivero</v>
      </c>
      <c r="D287" s="39" t="s">
        <v>422</v>
      </c>
      <c r="E287" s="21">
        <f>IF(ISERROR(VLOOKUP(D287,'Lista de Precio '!A:C,3,0)),"",VLOOKUP(D287,'Lista de Precio '!A:C,3,0))</f>
        <v>60</v>
      </c>
      <c r="F287" s="40">
        <v>46135</v>
      </c>
      <c r="G287" s="41"/>
      <c r="H287" s="41"/>
      <c r="I287" s="41"/>
      <c r="J287" s="41"/>
      <c r="K287" s="41"/>
      <c r="L287" s="41"/>
      <c r="M287" s="41"/>
      <c r="N287" s="21">
        <f t="shared" si="8"/>
        <v>60</v>
      </c>
      <c r="O287" s="40"/>
      <c r="P287" s="39" t="s">
        <v>447</v>
      </c>
    </row>
    <row r="288" spans="1:16" x14ac:dyDescent="0.25">
      <c r="A288" s="34">
        <v>261.654348430065</v>
      </c>
      <c r="B288" s="44">
        <v>179</v>
      </c>
      <c r="C288" t="str">
        <f>IF(ISERROR(VLOOKUP(B288,CLIENTES!A:B,2,0)),"",VLOOKUP(B288,CLIENTES!A:B,2,0))</f>
        <v xml:space="preserve">Adriana Vera </v>
      </c>
      <c r="D288" s="44" t="s">
        <v>409</v>
      </c>
      <c r="E288" s="45">
        <v>80</v>
      </c>
      <c r="F288" s="46">
        <v>46139</v>
      </c>
      <c r="G288" s="47">
        <v>25</v>
      </c>
      <c r="H288" s="47"/>
      <c r="I288" s="47"/>
      <c r="J288" s="47"/>
      <c r="K288" s="47"/>
      <c r="L288" s="47"/>
      <c r="M288" s="47"/>
      <c r="N288" s="45">
        <f t="shared" si="8"/>
        <v>55</v>
      </c>
      <c r="O288" s="46"/>
      <c r="P288" s="44"/>
    </row>
    <row r="289" spans="1:16" x14ac:dyDescent="0.25">
      <c r="A289" s="34">
        <v>262.56654626279601</v>
      </c>
      <c r="B289" s="39">
        <v>179</v>
      </c>
      <c r="C289" s="20" t="str">
        <f>IF(ISERROR(VLOOKUP(B289,CLIENTES!A:B,2,0)),"",VLOOKUP(B289,CLIENTES!A:B,2,0))</f>
        <v xml:space="preserve">Adriana Vera </v>
      </c>
      <c r="D289" s="39" t="s">
        <v>324</v>
      </c>
      <c r="E289" s="21">
        <v>45</v>
      </c>
      <c r="F289" s="40">
        <v>46139</v>
      </c>
      <c r="G289" s="41"/>
      <c r="H289" s="41"/>
      <c r="I289" s="41"/>
      <c r="J289" s="41"/>
      <c r="K289" s="41"/>
      <c r="L289" s="41"/>
      <c r="M289" s="41"/>
      <c r="N289" s="21">
        <f t="shared" si="8"/>
        <v>45</v>
      </c>
      <c r="O289" s="40"/>
      <c r="P289" s="39"/>
    </row>
    <row r="290" spans="1:16" x14ac:dyDescent="0.25">
      <c r="A290" s="34">
        <v>263.47874409552702</v>
      </c>
      <c r="B290" s="44">
        <v>180</v>
      </c>
      <c r="C290" t="str">
        <f>IF(ISERROR(VLOOKUP(B290,CLIENTES!A:B,2,0)),"",VLOOKUP(B290,CLIENTES!A:B,2,0))</f>
        <v xml:space="preserve">Yuliana Juez </v>
      </c>
      <c r="D290" s="44" t="s">
        <v>8</v>
      </c>
      <c r="E290" s="45">
        <f>IF(ISERROR(VLOOKUP(D290,'Lista de Precio '!A:C,3,0)),"",VLOOKUP(D290,'Lista de Precio '!A:C,3,0))</f>
        <v>60</v>
      </c>
      <c r="F290" s="46">
        <v>46139</v>
      </c>
      <c r="G290" s="47">
        <v>20</v>
      </c>
      <c r="H290" s="47"/>
      <c r="I290" s="47"/>
      <c r="J290" s="47"/>
      <c r="K290" s="47"/>
      <c r="L290" s="47"/>
      <c r="M290" s="47"/>
      <c r="N290" s="45">
        <f t="shared" si="8"/>
        <v>40</v>
      </c>
      <c r="O290" s="46"/>
      <c r="P290" s="44"/>
    </row>
    <row r="291" spans="1:16" x14ac:dyDescent="0.25">
      <c r="A291" s="34">
        <v>265.30313976098898</v>
      </c>
      <c r="B291" s="44">
        <v>181</v>
      </c>
      <c r="C291" t="str">
        <f>IF(ISERROR(VLOOKUP(B291,CLIENTES!A:B,2,0)),"",VLOOKUP(B291,CLIENTES!A:B,2,0))</f>
        <v>Carlos Avila</v>
      </c>
      <c r="D291" s="44" t="s">
        <v>408</v>
      </c>
      <c r="E291" s="45">
        <f>IF(ISERROR(VLOOKUP(D291,'Lista de Precio '!A:C,3,0)),"",VLOOKUP(D291,'Lista de Precio '!A:C,3,0))</f>
        <v>60</v>
      </c>
      <c r="F291" s="46">
        <v>46139</v>
      </c>
      <c r="G291" s="47"/>
      <c r="H291" s="47"/>
      <c r="I291" s="47"/>
      <c r="J291" s="47"/>
      <c r="K291" s="47"/>
      <c r="L291" s="47"/>
      <c r="M291" s="47"/>
      <c r="N291" s="45">
        <f t="shared" si="8"/>
        <v>60</v>
      </c>
      <c r="O291" s="46"/>
      <c r="P291" s="44"/>
    </row>
    <row r="292" spans="1:16" x14ac:dyDescent="0.25">
      <c r="A292" s="34">
        <v>266.21533759371999</v>
      </c>
      <c r="B292" s="39">
        <v>150</v>
      </c>
      <c r="C292" s="20" t="str">
        <f>IF(ISERROR(VLOOKUP(B292,CLIENTES!A:B,2,0)),"",VLOOKUP(B292,CLIENTES!A:B,2,0))</f>
        <v>Andreina</v>
      </c>
      <c r="D292" s="39" t="s">
        <v>41</v>
      </c>
      <c r="E292" s="21">
        <v>60</v>
      </c>
      <c r="F292" s="40">
        <v>46137</v>
      </c>
      <c r="G292" s="41"/>
      <c r="H292" s="41"/>
      <c r="I292" s="41"/>
      <c r="J292" s="41"/>
      <c r="K292" s="41"/>
      <c r="L292" s="41"/>
      <c r="M292" s="41"/>
      <c r="N292" s="21">
        <f t="shared" si="8"/>
        <v>60</v>
      </c>
      <c r="O292" s="40"/>
      <c r="P292" s="39" t="s">
        <v>432</v>
      </c>
    </row>
    <row r="293" spans="1:16" x14ac:dyDescent="0.25">
      <c r="A293" s="34">
        <v>267.127535426451</v>
      </c>
      <c r="B293" s="44">
        <v>150</v>
      </c>
      <c r="C293" t="str">
        <f>IF(ISERROR(VLOOKUP(B293,CLIENTES!A:B,2,0)),"",VLOOKUP(B293,CLIENTES!A:B,2,0))</f>
        <v>Andreina</v>
      </c>
      <c r="D293" s="44" t="s">
        <v>324</v>
      </c>
      <c r="E293" s="45">
        <v>50</v>
      </c>
      <c r="F293" s="46">
        <v>46137</v>
      </c>
      <c r="G293" s="47">
        <v>25</v>
      </c>
      <c r="H293" s="47"/>
      <c r="I293" s="47"/>
      <c r="J293" s="47"/>
      <c r="K293" s="47"/>
      <c r="L293" s="47"/>
      <c r="M293" s="47"/>
      <c r="N293" s="45">
        <f t="shared" si="8"/>
        <v>25</v>
      </c>
      <c r="O293" s="46"/>
      <c r="P293" s="44" t="s">
        <v>376</v>
      </c>
    </row>
    <row r="294" spans="1:16" x14ac:dyDescent="0.25">
      <c r="A294" s="34">
        <v>268.03973325918201</v>
      </c>
      <c r="B294" s="39">
        <v>150</v>
      </c>
      <c r="C294" s="20" t="str">
        <f>IF(ISERROR(VLOOKUP(B294,CLIENTES!A:B,2,0)),"",VLOOKUP(B294,CLIENTES!A:B,2,0))</f>
        <v>Andreina</v>
      </c>
      <c r="D294" s="39" t="s">
        <v>321</v>
      </c>
      <c r="E294" s="21">
        <f>IF(ISERROR(VLOOKUP(D294,'Lista de Precio '!A:C,3,0)),"",VLOOKUP(D294,'Lista de Precio '!A:C,3,0))</f>
        <v>60</v>
      </c>
      <c r="F294" s="40">
        <v>46137</v>
      </c>
      <c r="G294" s="41">
        <v>30</v>
      </c>
      <c r="H294" s="41"/>
      <c r="I294" s="41"/>
      <c r="J294" s="41"/>
      <c r="K294" s="41"/>
      <c r="L294" s="41"/>
      <c r="M294" s="41"/>
      <c r="N294" s="21">
        <f t="shared" si="8"/>
        <v>30</v>
      </c>
      <c r="O294" s="40"/>
      <c r="P294" s="39" t="s">
        <v>451</v>
      </c>
    </row>
    <row r="295" spans="1:16" x14ac:dyDescent="0.25">
      <c r="A295" s="34">
        <v>268.95193109191302</v>
      </c>
      <c r="B295" s="44">
        <v>150</v>
      </c>
      <c r="C295" t="str">
        <f>IF(ISERROR(VLOOKUP(B295,CLIENTES!A:B,2,0)),"",VLOOKUP(B295,CLIENTES!A:B,2,0))</f>
        <v>Andreina</v>
      </c>
      <c r="D295" s="44" t="s">
        <v>302</v>
      </c>
      <c r="E295" s="45">
        <v>60</v>
      </c>
      <c r="F295" s="46">
        <v>46137</v>
      </c>
      <c r="G295" s="47"/>
      <c r="H295" s="47"/>
      <c r="I295" s="47"/>
      <c r="J295" s="47"/>
      <c r="K295" s="47"/>
      <c r="L295" s="47"/>
      <c r="M295" s="47"/>
      <c r="N295" s="45">
        <f t="shared" si="8"/>
        <v>60</v>
      </c>
      <c r="O295" s="46"/>
      <c r="P295" s="44" t="s">
        <v>452</v>
      </c>
    </row>
    <row r="296" spans="1:16" x14ac:dyDescent="0.25">
      <c r="A296" s="34">
        <v>270.77632675737499</v>
      </c>
      <c r="B296" s="44">
        <v>140</v>
      </c>
      <c r="C296" t="str">
        <f>IF(ISERROR(VLOOKUP(B296,CLIENTES!A:B,2,0)),"",VLOOKUP(B296,CLIENTES!A:B,2,0))</f>
        <v>Danco Papel</v>
      </c>
      <c r="D296" s="44" t="s">
        <v>320</v>
      </c>
      <c r="E296" s="45">
        <v>60</v>
      </c>
      <c r="F296" s="46">
        <v>46143</v>
      </c>
      <c r="G296" s="47"/>
      <c r="H296" s="47"/>
      <c r="I296" s="47"/>
      <c r="J296" s="47"/>
      <c r="K296" s="47"/>
      <c r="L296" s="47"/>
      <c r="M296" s="47"/>
      <c r="N296" s="45">
        <f t="shared" si="8"/>
        <v>60</v>
      </c>
      <c r="O296" s="46"/>
      <c r="P296" s="44"/>
    </row>
    <row r="297" spans="1:16" x14ac:dyDescent="0.25">
      <c r="A297" s="34">
        <v>271.688524590106</v>
      </c>
      <c r="B297" s="39">
        <v>183</v>
      </c>
      <c r="C297" s="20" t="str">
        <f>IF(ISERROR(VLOOKUP(B297,CLIENTES!A:B,2,0)),"",VLOOKUP(B297,CLIENTES!A:B,2,0))</f>
        <v>Castor Alguacil</v>
      </c>
      <c r="D297" s="39" t="s">
        <v>321</v>
      </c>
      <c r="E297" s="21">
        <f>IF(ISERROR(VLOOKUP(D297,'Lista de Precio '!A:C,3,0)),"",VLOOKUP(D297,'Lista de Precio '!A:C,3,0))</f>
        <v>60</v>
      </c>
      <c r="F297" s="40">
        <v>46150</v>
      </c>
      <c r="G297" s="41">
        <v>20</v>
      </c>
      <c r="H297" s="41"/>
      <c r="I297" s="41"/>
      <c r="J297" s="41"/>
      <c r="K297" s="41"/>
      <c r="L297" s="41"/>
      <c r="M297" s="41"/>
      <c r="N297" s="21">
        <f t="shared" si="8"/>
        <v>40</v>
      </c>
      <c r="O297" s="40"/>
      <c r="P297" s="39"/>
    </row>
    <row r="298" spans="1:16" x14ac:dyDescent="0.25">
      <c r="A298" s="34">
        <v>272.60072242283701</v>
      </c>
      <c r="B298" s="44">
        <v>128</v>
      </c>
      <c r="C298" t="str">
        <f>IF(ISERROR(VLOOKUP(B298,CLIENTES!A:B,2,0)),"",VLOOKUP(B298,CLIENTES!A:B,2,0))</f>
        <v>Ciribeth Guerrero</v>
      </c>
      <c r="D298" s="44" t="s">
        <v>455</v>
      </c>
      <c r="E298" s="45">
        <v>60</v>
      </c>
      <c r="F298" s="46">
        <v>46143</v>
      </c>
      <c r="G298" s="47"/>
      <c r="H298" s="47"/>
      <c r="I298" s="47"/>
      <c r="J298" s="47"/>
      <c r="K298" s="47"/>
      <c r="L298" s="47"/>
      <c r="M298" s="47"/>
      <c r="N298" s="45">
        <f t="shared" si="8"/>
        <v>60</v>
      </c>
      <c r="O298" s="46"/>
      <c r="P298" s="44" t="s">
        <v>456</v>
      </c>
    </row>
    <row r="299" spans="1:16" x14ac:dyDescent="0.25">
      <c r="A299" s="34">
        <v>273.51292025556802</v>
      </c>
      <c r="B299" s="39">
        <v>128</v>
      </c>
      <c r="C299" s="20" t="str">
        <f>IF(ISERROR(VLOOKUP(B299,CLIENTES!A:B,2,0)),"",VLOOKUP(B299,CLIENTES!A:B,2,0))</f>
        <v>Ciribeth Guerrero</v>
      </c>
      <c r="D299" s="39" t="s">
        <v>229</v>
      </c>
      <c r="E299" s="21">
        <v>60</v>
      </c>
      <c r="F299" s="40">
        <v>46143</v>
      </c>
      <c r="G299" s="41"/>
      <c r="H299" s="41"/>
      <c r="I299" s="41"/>
      <c r="J299" s="41"/>
      <c r="K299" s="41"/>
      <c r="L299" s="41"/>
      <c r="M299" s="41"/>
      <c r="N299" s="21">
        <f t="shared" si="8"/>
        <v>60</v>
      </c>
      <c r="O299" s="40"/>
      <c r="P299" s="39" t="s">
        <v>456</v>
      </c>
    </row>
    <row r="300" spans="1:16" x14ac:dyDescent="0.25">
      <c r="A300" s="34">
        <v>274.42511808829897</v>
      </c>
      <c r="B300" s="44">
        <v>128</v>
      </c>
      <c r="C300" t="str">
        <f>IF(ISERROR(VLOOKUP(B300,CLIENTES!A:B,2,0)),"",VLOOKUP(B300,CLIENTES!A:B,2,0))</f>
        <v>Ciribeth Guerrero</v>
      </c>
      <c r="D300" s="44" t="s">
        <v>457</v>
      </c>
      <c r="E300" s="45">
        <v>60</v>
      </c>
      <c r="F300" s="46">
        <v>46143</v>
      </c>
      <c r="G300" s="47">
        <v>5</v>
      </c>
      <c r="H300" s="47"/>
      <c r="I300" s="47"/>
      <c r="J300" s="47"/>
      <c r="K300" s="47"/>
      <c r="L300" s="47"/>
      <c r="M300" s="47"/>
      <c r="N300" s="45">
        <f t="shared" si="8"/>
        <v>55</v>
      </c>
      <c r="O300" s="46"/>
      <c r="P300" s="44" t="s">
        <v>458</v>
      </c>
    </row>
    <row r="301" spans="1:16" x14ac:dyDescent="0.25">
      <c r="A301" s="34">
        <v>275.33731592102998</v>
      </c>
      <c r="B301" s="39">
        <v>128</v>
      </c>
      <c r="C301" s="20" t="str">
        <f>IF(ISERROR(VLOOKUP(B301,CLIENTES!A:B,2,0)),"",VLOOKUP(B301,CLIENTES!A:B,2,0))</f>
        <v>Ciribeth Guerrero</v>
      </c>
      <c r="D301" s="39" t="s">
        <v>459</v>
      </c>
      <c r="E301" s="21">
        <v>55</v>
      </c>
      <c r="F301" s="40">
        <v>46143</v>
      </c>
      <c r="G301" s="41"/>
      <c r="H301" s="41"/>
      <c r="I301" s="41"/>
      <c r="J301" s="41"/>
      <c r="K301" s="41"/>
      <c r="L301" s="41"/>
      <c r="M301" s="41"/>
      <c r="N301" s="21">
        <f t="shared" si="8"/>
        <v>55</v>
      </c>
      <c r="O301" s="40"/>
      <c r="P301" s="39" t="s">
        <v>460</v>
      </c>
    </row>
    <row r="302" spans="1:16" x14ac:dyDescent="0.25">
      <c r="A302" s="34">
        <v>276.24951375376099</v>
      </c>
      <c r="B302" s="44">
        <v>128</v>
      </c>
      <c r="C302" t="str">
        <f>IF(ISERROR(VLOOKUP(B302,CLIENTES!A:B,2,0)),"",VLOOKUP(B302,CLIENTES!A:B,2,0))</f>
        <v>Ciribeth Guerrero</v>
      </c>
      <c r="D302" s="44" t="s">
        <v>461</v>
      </c>
      <c r="E302" s="45">
        <v>60</v>
      </c>
      <c r="F302" s="46">
        <v>46143</v>
      </c>
      <c r="G302" s="47"/>
      <c r="H302" s="47"/>
      <c r="I302" s="47"/>
      <c r="J302" s="47"/>
      <c r="K302" s="47"/>
      <c r="L302" s="47"/>
      <c r="M302" s="47"/>
      <c r="N302" s="45">
        <f t="shared" si="8"/>
        <v>60</v>
      </c>
      <c r="O302" s="46"/>
      <c r="P302" s="44" t="s">
        <v>462</v>
      </c>
    </row>
    <row r="303" spans="1:16" x14ac:dyDescent="0.25">
      <c r="A303" s="34">
        <v>277.161711586492</v>
      </c>
      <c r="B303" s="39">
        <v>128</v>
      </c>
      <c r="C303" s="20" t="str">
        <f>IF(ISERROR(VLOOKUP(B303,CLIENTES!A:B,2,0)),"",VLOOKUP(B303,CLIENTES!A:B,2,0))</f>
        <v>Ciribeth Guerrero</v>
      </c>
      <c r="D303" s="39" t="s">
        <v>422</v>
      </c>
      <c r="E303" s="21">
        <f>IF(ISERROR(VLOOKUP(D303,'Lista de Precio '!A:C,3,0)),"",VLOOKUP(D303,'Lista de Precio '!A:C,3,0))</f>
        <v>60</v>
      </c>
      <c r="F303" s="40">
        <v>46143</v>
      </c>
      <c r="G303" s="41"/>
      <c r="H303" s="41"/>
      <c r="I303" s="41"/>
      <c r="J303" s="41"/>
      <c r="K303" s="41"/>
      <c r="L303" s="41"/>
      <c r="M303" s="41"/>
      <c r="N303" s="21">
        <f t="shared" si="8"/>
        <v>60</v>
      </c>
      <c r="O303" s="40"/>
      <c r="P303" s="39" t="s">
        <v>462</v>
      </c>
    </row>
    <row r="304" spans="1:16" x14ac:dyDescent="0.25">
      <c r="A304" s="34">
        <v>278.07390941922301</v>
      </c>
      <c r="B304" s="44">
        <v>128</v>
      </c>
      <c r="C304" t="str">
        <f>IF(ISERROR(VLOOKUP(B304,CLIENTES!A:B,2,0)),"",VLOOKUP(B304,CLIENTES!A:B,2,0))</f>
        <v>Ciribeth Guerrero</v>
      </c>
      <c r="D304" s="44" t="s">
        <v>302</v>
      </c>
      <c r="E304" s="45">
        <v>60</v>
      </c>
      <c r="F304" s="46">
        <v>46143</v>
      </c>
      <c r="G304" s="47"/>
      <c r="H304" s="47"/>
      <c r="I304" s="47"/>
      <c r="J304" s="47"/>
      <c r="K304" s="47"/>
      <c r="L304" s="47"/>
      <c r="M304" s="47"/>
      <c r="N304" s="45">
        <f t="shared" si="8"/>
        <v>60</v>
      </c>
      <c r="O304" s="46"/>
      <c r="P304" s="44" t="s">
        <v>377</v>
      </c>
    </row>
    <row r="305" spans="1:16" x14ac:dyDescent="0.25">
      <c r="A305" s="34">
        <v>278.98610725195402</v>
      </c>
      <c r="B305" s="39">
        <v>128</v>
      </c>
      <c r="C305" s="20" t="str">
        <f>IF(ISERROR(VLOOKUP(B305,CLIENTES!A:B,2,0)),"",VLOOKUP(B305,CLIENTES!A:B,2,0))</f>
        <v>Ciribeth Guerrero</v>
      </c>
      <c r="D305" s="39" t="s">
        <v>45</v>
      </c>
      <c r="E305" s="21">
        <f>IF(ISERROR(VLOOKUP(D305,'Lista de Precio '!A:C,3,0)),"",VLOOKUP(D305,'Lista de Precio '!A:C,3,0))</f>
        <v>50</v>
      </c>
      <c r="F305" s="40">
        <v>46143</v>
      </c>
      <c r="G305" s="41"/>
      <c r="H305" s="41"/>
      <c r="I305" s="41"/>
      <c r="J305" s="41"/>
      <c r="K305" s="41"/>
      <c r="L305" s="41"/>
      <c r="M305" s="41"/>
      <c r="N305" s="21">
        <f t="shared" si="8"/>
        <v>50</v>
      </c>
      <c r="O305" s="40"/>
      <c r="P305" s="39" t="s">
        <v>377</v>
      </c>
    </row>
    <row r="306" spans="1:16" x14ac:dyDescent="0.25">
      <c r="A306" s="34">
        <v>279.89830508468498</v>
      </c>
      <c r="B306" s="44">
        <v>128</v>
      </c>
      <c r="C306" t="str">
        <f>IF(ISERROR(VLOOKUP(B306,CLIENTES!A:B,2,0)),"",VLOOKUP(B306,CLIENTES!A:B,2,0))</f>
        <v>Ciribeth Guerrero</v>
      </c>
      <c r="D306" s="44" t="s">
        <v>409</v>
      </c>
      <c r="E306" s="45">
        <f>IF(ISERROR(VLOOKUP(D306,'Lista de Precio '!A:C,3,0)),"",VLOOKUP(D306,'Lista de Precio '!A:C,3,0))</f>
        <v>90</v>
      </c>
      <c r="F306" s="46">
        <v>46143</v>
      </c>
      <c r="G306" s="47"/>
      <c r="H306" s="47"/>
      <c r="I306" s="47"/>
      <c r="J306" s="47"/>
      <c r="K306" s="47"/>
      <c r="L306" s="47"/>
      <c r="M306" s="47"/>
      <c r="N306" s="45">
        <f t="shared" si="8"/>
        <v>90</v>
      </c>
      <c r="O306" s="46"/>
      <c r="P306" s="44" t="s">
        <v>463</v>
      </c>
    </row>
    <row r="307" spans="1:16" x14ac:dyDescent="0.25">
      <c r="A307" s="34">
        <v>280.81050291741599</v>
      </c>
      <c r="B307" s="39">
        <v>128</v>
      </c>
      <c r="C307" s="20" t="str">
        <f>IF(ISERROR(VLOOKUP(B307,CLIENTES!A:B,2,0)),"",VLOOKUP(B307,CLIENTES!A:B,2,0))</f>
        <v>Ciribeth Guerrero</v>
      </c>
      <c r="D307" s="39" t="s">
        <v>418</v>
      </c>
      <c r="E307" s="21">
        <f>IF(ISERROR(VLOOKUP(D307,'Lista de Precio '!A:C,3,0)),"",VLOOKUP(D307,'Lista de Precio '!A:C,3,0))</f>
        <v>65</v>
      </c>
      <c r="F307" s="40">
        <v>46143</v>
      </c>
      <c r="G307" s="41"/>
      <c r="H307" s="41"/>
      <c r="I307" s="41"/>
      <c r="J307" s="41"/>
      <c r="K307" s="41"/>
      <c r="L307" s="41"/>
      <c r="M307" s="41"/>
      <c r="N307" s="21">
        <f t="shared" si="8"/>
        <v>65</v>
      </c>
      <c r="O307" s="40"/>
      <c r="P307" s="39" t="s">
        <v>463</v>
      </c>
    </row>
    <row r="308" spans="1:16" x14ac:dyDescent="0.25">
      <c r="A308" s="34">
        <v>281.722700750147</v>
      </c>
      <c r="B308" s="44">
        <v>128</v>
      </c>
      <c r="C308" t="str">
        <f>IF(ISERROR(VLOOKUP(B308,CLIENTES!A:B,2,0)),"",VLOOKUP(B308,CLIENTES!A:B,2,0))</f>
        <v>Ciribeth Guerrero</v>
      </c>
      <c r="D308" s="44" t="s">
        <v>301</v>
      </c>
      <c r="E308" s="45">
        <v>60</v>
      </c>
      <c r="F308" s="46">
        <v>46143</v>
      </c>
      <c r="G308" s="47"/>
      <c r="H308" s="47"/>
      <c r="I308" s="47"/>
      <c r="J308" s="47"/>
      <c r="K308" s="47"/>
      <c r="L308" s="47"/>
      <c r="M308" s="47"/>
      <c r="N308" s="45">
        <f t="shared" si="8"/>
        <v>60</v>
      </c>
      <c r="O308" s="46"/>
      <c r="P308" s="44" t="s">
        <v>463</v>
      </c>
    </row>
    <row r="309" spans="1:16" x14ac:dyDescent="0.25">
      <c r="A309" s="34">
        <v>282.63489858287801</v>
      </c>
      <c r="B309" s="84">
        <v>128</v>
      </c>
      <c r="C309" s="54" t="str">
        <f>IF(ISERROR(VLOOKUP(B309,CLIENTES!A:B,2,0)),"",VLOOKUP(B309,CLIENTES!A:B,2,0))</f>
        <v>Ciribeth Guerrero</v>
      </c>
      <c r="D309" s="84" t="s">
        <v>464</v>
      </c>
      <c r="E309" s="55">
        <v>65</v>
      </c>
      <c r="F309" s="85">
        <v>46143</v>
      </c>
      <c r="G309" s="86">
        <v>65</v>
      </c>
      <c r="H309" s="86"/>
      <c r="I309" s="86"/>
      <c r="J309" s="86"/>
      <c r="K309" s="86"/>
      <c r="L309" s="86"/>
      <c r="M309" s="86"/>
      <c r="N309" s="55">
        <f t="shared" si="8"/>
        <v>0</v>
      </c>
      <c r="O309" s="85"/>
      <c r="P309" s="84" t="s">
        <v>465</v>
      </c>
    </row>
    <row r="310" spans="1:16" x14ac:dyDescent="0.25">
      <c r="A310" s="34">
        <v>283.54709641560902</v>
      </c>
      <c r="B310" s="84">
        <v>128</v>
      </c>
      <c r="C310" s="89" t="str">
        <f>IF(ISERROR(VLOOKUP(B310,CLIENTES!A:B,2,0)),"",VLOOKUP(B310,CLIENTES!A:B,2,0))</f>
        <v>Ciribeth Guerrero</v>
      </c>
      <c r="D310" s="84" t="s">
        <v>466</v>
      </c>
      <c r="E310" s="55">
        <v>60</v>
      </c>
      <c r="F310" s="85">
        <v>46143</v>
      </c>
      <c r="G310" s="86">
        <v>60</v>
      </c>
      <c r="H310" s="86"/>
      <c r="I310" s="86"/>
      <c r="J310" s="86"/>
      <c r="K310" s="86"/>
      <c r="L310" s="86"/>
      <c r="M310" s="86"/>
      <c r="N310" s="55">
        <f t="shared" si="8"/>
        <v>0</v>
      </c>
      <c r="O310" s="85"/>
      <c r="P310" s="84" t="s">
        <v>465</v>
      </c>
    </row>
    <row r="311" spans="1:16" x14ac:dyDescent="0.25">
      <c r="A311" s="34">
        <v>284.45929424833997</v>
      </c>
      <c r="B311" s="39">
        <v>128</v>
      </c>
      <c r="C311" s="20" t="str">
        <f>IF(ISERROR(VLOOKUP(B311,CLIENTES!A:B,2,0)),"",VLOOKUP(B311,CLIENTES!A:B,2,0))</f>
        <v>Ciribeth Guerrero</v>
      </c>
      <c r="D311" s="39" t="s">
        <v>24</v>
      </c>
      <c r="E311" s="21">
        <v>60</v>
      </c>
      <c r="F311" s="40">
        <v>46143</v>
      </c>
      <c r="G311" s="41"/>
      <c r="H311" s="41"/>
      <c r="I311" s="41"/>
      <c r="J311" s="41"/>
      <c r="K311" s="41"/>
      <c r="L311" s="41"/>
      <c r="M311" s="41"/>
      <c r="N311" s="21">
        <f t="shared" si="8"/>
        <v>60</v>
      </c>
      <c r="O311" s="40"/>
      <c r="P311" s="39" t="s">
        <v>467</v>
      </c>
    </row>
    <row r="312" spans="1:16" x14ac:dyDescent="0.25">
      <c r="A312" s="34" t="s">
        <v>174</v>
      </c>
      <c r="B312" s="44">
        <v>128</v>
      </c>
      <c r="C312" t="str">
        <f>IF(ISERROR(VLOOKUP(B312,CLIENTES!A:B,2,0)),"",VLOOKUP(B312,CLIENTES!A:B,2,0))</f>
        <v>Ciribeth Guerrero</v>
      </c>
      <c r="D312" s="44" t="s">
        <v>45</v>
      </c>
      <c r="E312" s="45">
        <f>IF(ISERROR(VLOOKUP(D312,'Lista de Precio '!A:C,3,0)),"",VLOOKUP(D312,'Lista de Precio '!A:C,3,0))</f>
        <v>50</v>
      </c>
      <c r="F312" s="46">
        <v>46143</v>
      </c>
      <c r="G312" s="47"/>
      <c r="H312" s="47"/>
      <c r="I312" s="47"/>
      <c r="J312" s="47"/>
      <c r="K312" s="47"/>
      <c r="L312" s="47"/>
      <c r="M312" s="47"/>
      <c r="N312" s="45">
        <f t="shared" si="8"/>
        <v>50</v>
      </c>
      <c r="O312" s="46"/>
      <c r="P312" s="44" t="s">
        <v>468</v>
      </c>
    </row>
    <row r="313" spans="1:16" x14ac:dyDescent="0.25">
      <c r="A313" s="34">
        <v>286.28368991380199</v>
      </c>
      <c r="B313" s="84">
        <v>128</v>
      </c>
      <c r="C313" s="54" t="str">
        <f>IF(ISERROR(VLOOKUP(B313,CLIENTES!A:B,2,0)),"",VLOOKUP(B313,CLIENTES!A:B,2,0))</f>
        <v>Ciribeth Guerrero</v>
      </c>
      <c r="D313" s="84" t="s">
        <v>203</v>
      </c>
      <c r="E313" s="55">
        <f>IF(ISERROR(VLOOKUP(D313,'Lista de Precio '!A:C,3,0)),"",VLOOKUP(D313,'Lista de Precio '!A:C,3,0))</f>
        <v>60</v>
      </c>
      <c r="F313" s="85">
        <v>46143</v>
      </c>
      <c r="G313" s="86"/>
      <c r="H313" s="86"/>
      <c r="I313" s="86"/>
      <c r="J313" s="86"/>
      <c r="K313" s="86"/>
      <c r="L313" s="86"/>
      <c r="M313" s="86"/>
      <c r="N313" s="55">
        <f t="shared" si="8"/>
        <v>60</v>
      </c>
      <c r="O313" s="85"/>
      <c r="P313" s="84" t="s">
        <v>385</v>
      </c>
    </row>
    <row r="314" spans="1:16" ht="15.75" x14ac:dyDescent="0.25">
      <c r="A314" s="34">
        <v>290.84467907745699</v>
      </c>
      <c r="B314" s="44">
        <v>169</v>
      </c>
      <c r="C314" t="str">
        <f>IF(ISERROR(VLOOKUP(B314,CLIENTES!A:B,2,0)),"",VLOOKUP(B314,CLIENTES!A:B,2,0))</f>
        <v>Marilyn</v>
      </c>
      <c r="D314" s="8" t="s">
        <v>302</v>
      </c>
      <c r="E314" s="45">
        <v>60</v>
      </c>
      <c r="F314" s="46">
        <v>46163</v>
      </c>
      <c r="G314" s="47"/>
      <c r="H314" s="47"/>
      <c r="I314" s="47"/>
      <c r="J314" s="47"/>
      <c r="K314" s="47"/>
      <c r="L314" s="47"/>
      <c r="M314" s="47"/>
      <c r="N314" s="45">
        <f t="shared" si="8"/>
        <v>60</v>
      </c>
      <c r="O314" s="46"/>
      <c r="P314" s="44"/>
    </row>
    <row r="315" spans="1:16" ht="15.75" x14ac:dyDescent="0.25">
      <c r="A315" s="34">
        <v>291.756876910188</v>
      </c>
      <c r="B315" s="39">
        <v>184</v>
      </c>
      <c r="C315" s="20" t="str">
        <f>IF(ISERROR(VLOOKUP(B315,CLIENTES!A:B,2,0)),"",VLOOKUP(B315,CLIENTES!A:B,2,0))</f>
        <v>Michaell Autoperico</v>
      </c>
      <c r="D315" s="8" t="s">
        <v>315</v>
      </c>
      <c r="E315" s="21">
        <f>IF(ISERROR(VLOOKUP(D315,'Lista de Precio '!A:C,3,0)),"",VLOOKUP(D315,'Lista de Precio '!A:C,3,0))</f>
        <v>25</v>
      </c>
      <c r="F315" s="40">
        <v>46162</v>
      </c>
      <c r="G315" s="41"/>
      <c r="H315" s="41"/>
      <c r="I315" s="41"/>
      <c r="J315" s="41"/>
      <c r="K315" s="41"/>
      <c r="L315" s="41"/>
      <c r="M315" s="41"/>
      <c r="N315" s="21">
        <f t="shared" si="8"/>
        <v>25</v>
      </c>
      <c r="O315" s="40"/>
      <c r="P315" s="39" t="s">
        <v>470</v>
      </c>
    </row>
    <row r="316" spans="1:16" ht="15.75" x14ac:dyDescent="0.25">
      <c r="A316" s="34">
        <v>292.66907474291901</v>
      </c>
      <c r="B316" s="44">
        <v>185</v>
      </c>
      <c r="C316" t="str">
        <f>IF(ISERROR(VLOOKUP(B316,CLIENTES!A:B,2,0)),"",VLOOKUP(B316,CLIENTES!A:B,2,0))</f>
        <v>Alvaro Dugarte</v>
      </c>
      <c r="D316" s="5" t="s">
        <v>293</v>
      </c>
      <c r="E316" s="45">
        <v>65</v>
      </c>
      <c r="F316" s="46">
        <v>46166</v>
      </c>
      <c r="G316" s="47"/>
      <c r="H316" s="47"/>
      <c r="I316" s="47"/>
      <c r="J316" s="47"/>
      <c r="K316" s="47"/>
      <c r="L316" s="47"/>
      <c r="M316" s="47"/>
      <c r="N316" s="45">
        <f t="shared" si="8"/>
        <v>65</v>
      </c>
      <c r="O316" s="46"/>
      <c r="P316" s="44" t="s">
        <v>472</v>
      </c>
    </row>
    <row r="317" spans="1:16" x14ac:dyDescent="0.25">
      <c r="A317" s="34">
        <v>293.58127257565002</v>
      </c>
      <c r="B317" s="39"/>
      <c r="C317" s="20" t="str">
        <f>IF(ISERROR(VLOOKUP(B317,CLIENTES!A:B,2,0)),"",VLOOKUP(B317,CLIENTES!A:B,2,0))</f>
        <v/>
      </c>
      <c r="D317" s="39"/>
      <c r="E317" s="21" t="str">
        <f>IF(ISERROR(VLOOKUP(D317,'Lista de Precio '!A:C,3,0)),"",VLOOKUP(D317,'Lista de Precio '!A:C,3,0))</f>
        <v/>
      </c>
      <c r="F317" s="40"/>
      <c r="G317" s="41"/>
      <c r="H317" s="41"/>
      <c r="I317" s="41"/>
      <c r="J317" s="41"/>
      <c r="K317" s="41"/>
      <c r="L317" s="41"/>
      <c r="M317" s="41"/>
      <c r="N317" s="21" t="str">
        <f t="shared" si="8"/>
        <v/>
      </c>
      <c r="O317" s="40"/>
      <c r="P317" s="39"/>
    </row>
    <row r="318" spans="1:16" x14ac:dyDescent="0.25">
      <c r="A318" s="34">
        <v>294.49347040838097</v>
      </c>
      <c r="B318" s="44"/>
      <c r="C318" t="str">
        <f>IF(ISERROR(VLOOKUP(B318,CLIENTES!A:B,2,0)),"",VLOOKUP(B318,CLIENTES!A:B,2,0))</f>
        <v/>
      </c>
      <c r="D318" s="44"/>
      <c r="E318" s="45" t="str">
        <f>IF(ISERROR(VLOOKUP(D318,'Lista de Precio '!A:C,3,0)),"",VLOOKUP(D318,'Lista de Precio '!A:C,3,0))</f>
        <v/>
      </c>
      <c r="F318" s="46"/>
      <c r="G318" s="47"/>
      <c r="H318" s="47"/>
      <c r="I318" s="47"/>
      <c r="J318" s="47"/>
      <c r="K318" s="47"/>
      <c r="L318" s="47"/>
      <c r="M318" s="47"/>
      <c r="N318" s="45" t="str">
        <f t="shared" si="8"/>
        <v/>
      </c>
      <c r="O318" s="46"/>
      <c r="P318" s="44"/>
    </row>
    <row r="319" spans="1:16" x14ac:dyDescent="0.25">
      <c r="A319" s="34">
        <v>295.40566824111198</v>
      </c>
      <c r="B319" s="39"/>
      <c r="C319" s="20" t="str">
        <f>IF(ISERROR(VLOOKUP(B319,CLIENTES!A:B,2,0)),"",VLOOKUP(B319,CLIENTES!A:B,2,0))</f>
        <v/>
      </c>
      <c r="D319" s="39"/>
      <c r="E319" s="21" t="str">
        <f>IF(ISERROR(VLOOKUP(D319,'Lista de Precio '!A:C,3,0)),"",VLOOKUP(D319,'Lista de Precio '!A:C,3,0))</f>
        <v/>
      </c>
      <c r="F319" s="40"/>
      <c r="G319" s="41"/>
      <c r="H319" s="41"/>
      <c r="I319" s="41"/>
      <c r="J319" s="41"/>
      <c r="K319" s="41"/>
      <c r="L319" s="41"/>
      <c r="M319" s="41"/>
      <c r="N319" s="21" t="str">
        <f t="shared" si="8"/>
        <v/>
      </c>
      <c r="O319" s="40"/>
      <c r="P319" s="39"/>
    </row>
    <row r="320" spans="1:16" x14ac:dyDescent="0.25">
      <c r="A320" s="34">
        <v>296.31786607384299</v>
      </c>
      <c r="B320" s="44"/>
      <c r="C320" t="str">
        <f>IF(ISERROR(VLOOKUP(B320,CLIENTES!A:B,2,0)),"",VLOOKUP(B320,CLIENTES!A:B,2,0))</f>
        <v/>
      </c>
      <c r="D320" s="44"/>
      <c r="E320" s="45" t="str">
        <f>IF(ISERROR(VLOOKUP(D320,'Lista de Precio '!A:C,3,0)),"",VLOOKUP(D320,'Lista de Precio '!A:C,3,0))</f>
        <v/>
      </c>
      <c r="F320" s="46"/>
      <c r="G320" s="47"/>
      <c r="H320" s="47"/>
      <c r="I320" s="47"/>
      <c r="J320" s="47"/>
      <c r="K320" s="47"/>
      <c r="L320" s="47"/>
      <c r="M320" s="47"/>
      <c r="N320" s="45" t="str">
        <f t="shared" si="8"/>
        <v/>
      </c>
      <c r="O320" s="46"/>
      <c r="P320" s="44"/>
    </row>
    <row r="321" spans="1:16" x14ac:dyDescent="0.25">
      <c r="A321" s="34">
        <v>297.230063906574</v>
      </c>
      <c r="B321" s="39"/>
      <c r="C321" s="20" t="str">
        <f>IF(ISERROR(VLOOKUP(B321,CLIENTES!A:B,2,0)),"",VLOOKUP(B321,CLIENTES!A:B,2,0))</f>
        <v/>
      </c>
      <c r="D321" s="39"/>
      <c r="E321" s="21" t="str">
        <f>IF(ISERROR(VLOOKUP(D321,'Lista de Precio '!A:C,3,0)),"",VLOOKUP(D321,'Lista de Precio '!A:C,3,0))</f>
        <v/>
      </c>
      <c r="F321" s="40"/>
      <c r="G321" s="41"/>
      <c r="H321" s="41"/>
      <c r="I321" s="41"/>
      <c r="J321" s="41"/>
      <c r="K321" s="41"/>
      <c r="L321" s="41"/>
      <c r="M321" s="41"/>
      <c r="N321" s="21" t="str">
        <f t="shared" si="8"/>
        <v/>
      </c>
      <c r="O321" s="40"/>
      <c r="P321" s="39"/>
    </row>
    <row r="322" spans="1:16" x14ac:dyDescent="0.25">
      <c r="A322" s="34">
        <v>298.14226173930501</v>
      </c>
      <c r="B322" s="44"/>
      <c r="C322" t="str">
        <f>IF(ISERROR(VLOOKUP(B322,CLIENTES!A:B,2,0)),"",VLOOKUP(B322,CLIENTES!A:B,2,0))</f>
        <v/>
      </c>
      <c r="D322" s="44"/>
      <c r="E322" s="45" t="str">
        <f>IF(ISERROR(VLOOKUP(D322,'Lista de Precio '!A:C,3,0)),"",VLOOKUP(D322,'Lista de Precio '!A:C,3,0))</f>
        <v/>
      </c>
      <c r="F322" s="46"/>
      <c r="G322" s="47"/>
      <c r="H322" s="47"/>
      <c r="I322" s="47"/>
      <c r="J322" s="47"/>
      <c r="K322" s="47"/>
      <c r="L322" s="47"/>
      <c r="M322" s="47"/>
      <c r="N322" s="45" t="str">
        <f t="shared" si="8"/>
        <v/>
      </c>
      <c r="O322" s="46"/>
      <c r="P322" s="44"/>
    </row>
    <row r="323" spans="1:16" x14ac:dyDescent="0.25">
      <c r="A323" s="34">
        <v>299.05445957203602</v>
      </c>
      <c r="B323" s="39"/>
      <c r="C323" s="20" t="str">
        <f>IF(ISERROR(VLOOKUP(B323,CLIENTES!A:B,2,0)),"",VLOOKUP(B323,CLIENTES!A:B,2,0))</f>
        <v/>
      </c>
      <c r="D323" s="39"/>
      <c r="E323" s="21" t="str">
        <f>IF(ISERROR(VLOOKUP(D323,'Lista de Precio '!A:C,3,0)),"",VLOOKUP(D323,'Lista de Precio '!A:C,3,0))</f>
        <v/>
      </c>
      <c r="F323" s="40"/>
      <c r="G323" s="41"/>
      <c r="H323" s="41"/>
      <c r="I323" s="41"/>
      <c r="J323" s="41"/>
      <c r="K323" s="41"/>
      <c r="L323" s="41"/>
      <c r="M323" s="41"/>
      <c r="N323" s="21" t="str">
        <f t="shared" si="8"/>
        <v/>
      </c>
      <c r="O323" s="40"/>
      <c r="P323" s="39"/>
    </row>
    <row r="324" spans="1:16" x14ac:dyDescent="0.25">
      <c r="A324" s="34">
        <v>299.96665740476698</v>
      </c>
      <c r="B324" s="44"/>
      <c r="C324" t="str">
        <f>IF(ISERROR(VLOOKUP(B324,CLIENTES!A:B,2,0)),"",VLOOKUP(B324,CLIENTES!A:B,2,0))</f>
        <v/>
      </c>
      <c r="D324" s="44"/>
      <c r="E324" s="45" t="str">
        <f>IF(ISERROR(VLOOKUP(D324,'Lista de Precio '!A:C,3,0)),"",VLOOKUP(D324,'Lista de Precio '!A:C,3,0))</f>
        <v/>
      </c>
      <c r="F324" s="46"/>
      <c r="G324" s="47"/>
      <c r="H324" s="47"/>
      <c r="I324" s="47"/>
      <c r="J324" s="47"/>
      <c r="K324" s="47"/>
      <c r="L324" s="47"/>
      <c r="M324" s="47"/>
      <c r="N324" s="45" t="str">
        <f t="shared" si="8"/>
        <v/>
      </c>
      <c r="O324" s="46"/>
      <c r="P324" s="44"/>
    </row>
    <row r="325" spans="1:16" x14ac:dyDescent="0.25">
      <c r="A325" s="34">
        <v>300.87885523749799</v>
      </c>
      <c r="B325" s="39"/>
      <c r="C325" s="20" t="str">
        <f>IF(ISERROR(VLOOKUP(B325,CLIENTES!A:B,2,0)),"",VLOOKUP(B325,CLIENTES!A:B,2,0))</f>
        <v/>
      </c>
      <c r="D325" s="39"/>
      <c r="E325" s="21" t="str">
        <f>IF(ISERROR(VLOOKUP(D325,'Lista de Precio '!A:C,3,0)),"",VLOOKUP(D325,'Lista de Precio '!A:C,3,0))</f>
        <v/>
      </c>
      <c r="F325" s="40"/>
      <c r="G325" s="41"/>
      <c r="H325" s="41"/>
      <c r="I325" s="41"/>
      <c r="J325" s="41"/>
      <c r="K325" s="41"/>
      <c r="L325" s="41"/>
      <c r="M325" s="41"/>
      <c r="N325" s="21" t="str">
        <f t="shared" si="8"/>
        <v/>
      </c>
      <c r="O325" s="40"/>
      <c r="P325" s="39"/>
    </row>
    <row r="326" spans="1:16" x14ac:dyDescent="0.25">
      <c r="A326" s="34">
        <v>301.791053070229</v>
      </c>
      <c r="B326" s="44"/>
      <c r="C326" t="str">
        <f>IF(ISERROR(VLOOKUP(B326,CLIENTES!A:B,2,0)),"",VLOOKUP(B326,CLIENTES!A:B,2,0))</f>
        <v/>
      </c>
      <c r="D326" s="44"/>
      <c r="E326" s="45" t="str">
        <f>IF(ISERROR(VLOOKUP(D326,'Lista de Precio '!A:C,3,0)),"",VLOOKUP(D326,'Lista de Precio '!A:C,3,0))</f>
        <v/>
      </c>
      <c r="F326" s="46"/>
      <c r="G326" s="47"/>
      <c r="H326" s="47"/>
      <c r="I326" s="47"/>
      <c r="J326" s="47"/>
      <c r="K326" s="47"/>
      <c r="L326" s="47"/>
      <c r="M326" s="47"/>
      <c r="N326" s="45" t="str">
        <f t="shared" si="8"/>
        <v/>
      </c>
      <c r="O326" s="46"/>
      <c r="P326" s="44"/>
    </row>
    <row r="327" spans="1:16" x14ac:dyDescent="0.25">
      <c r="A327" s="34">
        <v>302.70325090296001</v>
      </c>
      <c r="B327" s="39"/>
      <c r="C327" s="20" t="str">
        <f>IF(ISERROR(VLOOKUP(B327,CLIENTES!A:B,2,0)),"",VLOOKUP(B327,CLIENTES!A:B,2,0))</f>
        <v/>
      </c>
      <c r="D327" s="39"/>
      <c r="E327" s="21" t="str">
        <f>IF(ISERROR(VLOOKUP(D327,'Lista de Precio '!A:C,3,0)),"",VLOOKUP(D327,'Lista de Precio '!A:C,3,0))</f>
        <v/>
      </c>
      <c r="F327" s="40"/>
      <c r="G327" s="41"/>
      <c r="H327" s="41"/>
      <c r="I327" s="41"/>
      <c r="J327" s="41"/>
      <c r="K327" s="41"/>
      <c r="L327" s="41"/>
      <c r="M327" s="41"/>
      <c r="N327" s="21" t="str">
        <f t="shared" si="8"/>
        <v/>
      </c>
      <c r="O327" s="40"/>
      <c r="P327" s="39"/>
    </row>
    <row r="328" spans="1:16" x14ac:dyDescent="0.25">
      <c r="A328" s="34">
        <v>303.61544873569102</v>
      </c>
      <c r="B328" s="44"/>
      <c r="C328" t="str">
        <f>IF(ISERROR(VLOOKUP(B328,CLIENTES!A:B,2,0)),"",VLOOKUP(B328,CLIENTES!A:B,2,0))</f>
        <v/>
      </c>
      <c r="D328" s="44"/>
      <c r="E328" s="45" t="str">
        <f>IF(ISERROR(VLOOKUP(D328,'Lista de Precio '!A:C,3,0)),"",VLOOKUP(D328,'Lista de Precio '!A:C,3,0))</f>
        <v/>
      </c>
      <c r="F328" s="46"/>
      <c r="G328" s="47"/>
      <c r="H328" s="47"/>
      <c r="I328" s="47"/>
      <c r="J328" s="47"/>
      <c r="K328" s="47"/>
      <c r="L328" s="47"/>
      <c r="M328" s="47"/>
      <c r="N328" s="45" t="str">
        <f t="shared" si="8"/>
        <v/>
      </c>
      <c r="O328" s="46"/>
      <c r="P328" s="44"/>
    </row>
    <row r="329" spans="1:16" x14ac:dyDescent="0.25">
      <c r="A329" s="34">
        <v>304.52764656842203</v>
      </c>
      <c r="B329" s="39"/>
      <c r="C329" s="20" t="str">
        <f>IF(ISERROR(VLOOKUP(B329,CLIENTES!A:B,2,0)),"",VLOOKUP(B329,CLIENTES!A:B,2,0))</f>
        <v/>
      </c>
      <c r="D329" s="39"/>
      <c r="E329" s="21" t="str">
        <f>IF(ISERROR(VLOOKUP(D329,'Lista de Precio '!A:C,3,0)),"",VLOOKUP(D329,'Lista de Precio '!A:C,3,0))</f>
        <v/>
      </c>
      <c r="F329" s="40"/>
      <c r="G329" s="41"/>
      <c r="H329" s="41"/>
      <c r="I329" s="41"/>
      <c r="J329" s="41"/>
      <c r="K329" s="41"/>
      <c r="L329" s="41"/>
      <c r="M329" s="41"/>
      <c r="N329" s="21" t="str">
        <f t="shared" si="8"/>
        <v/>
      </c>
      <c r="O329" s="40"/>
      <c r="P329" s="39"/>
    </row>
    <row r="330" spans="1:16" x14ac:dyDescent="0.25">
      <c r="A330" s="34">
        <v>305.43984440115298</v>
      </c>
      <c r="B330" s="44"/>
      <c r="C330" t="str">
        <f>IF(ISERROR(VLOOKUP(B330,CLIENTES!A:B,2,0)),"",VLOOKUP(B330,CLIENTES!A:B,2,0))</f>
        <v/>
      </c>
      <c r="D330" s="44"/>
      <c r="E330" s="45" t="str">
        <f>IF(ISERROR(VLOOKUP(D330,'Lista de Precio '!A:C,3,0)),"",VLOOKUP(D330,'Lista de Precio '!A:C,3,0))</f>
        <v/>
      </c>
      <c r="F330" s="46"/>
      <c r="G330" s="47"/>
      <c r="H330" s="47"/>
      <c r="I330" s="47"/>
      <c r="J330" s="47"/>
      <c r="K330" s="47"/>
      <c r="L330" s="47"/>
      <c r="M330" s="47"/>
      <c r="N330" s="45" t="str">
        <f t="shared" si="8"/>
        <v/>
      </c>
      <c r="O330" s="46"/>
      <c r="P330" s="44"/>
    </row>
  </sheetData>
  <mergeCells count="4">
    <mergeCell ref="B3:P3"/>
    <mergeCell ref="B114:P114"/>
    <mergeCell ref="B164:P164"/>
    <mergeCell ref="A244:P244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'Lista de Precio '!$A$2:$A$196</xm:f>
          </x14:formula1>
          <xm:sqref>D7:D113 D115:D163 D165:D243 D245:D330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D95"/>
  <sheetViews>
    <sheetView topLeftCell="A61" workbookViewId="0">
      <selection activeCell="H90" sqref="H90"/>
    </sheetView>
  </sheetViews>
  <sheetFormatPr defaultColWidth="11.42578125" defaultRowHeight="15" x14ac:dyDescent="0.25"/>
  <cols>
    <col min="1" max="1" width="12" customWidth="1"/>
    <col min="2" max="2" width="42" customWidth="1"/>
    <col min="3" max="3" width="21.28515625" customWidth="1"/>
    <col min="4" max="4" width="12" customWidth="1"/>
  </cols>
  <sheetData>
    <row r="3" spans="1:4" ht="18" x14ac:dyDescent="0.35">
      <c r="A3" s="26" t="s">
        <v>69</v>
      </c>
      <c r="B3" s="26" t="s">
        <v>58</v>
      </c>
      <c r="C3" s="26" t="s">
        <v>70</v>
      </c>
      <c r="D3" s="26" t="s">
        <v>71</v>
      </c>
    </row>
    <row r="4" spans="1:4" ht="14.45" x14ac:dyDescent="0.3">
      <c r="A4" s="24">
        <v>101</v>
      </c>
      <c r="B4" s="25" t="s">
        <v>67</v>
      </c>
      <c r="C4" s="22" t="s">
        <v>72</v>
      </c>
      <c r="D4" s="22"/>
    </row>
    <row r="5" spans="1:4" ht="14.45" x14ac:dyDescent="0.3">
      <c r="A5" s="23">
        <v>102</v>
      </c>
      <c r="B5" s="23" t="s">
        <v>74</v>
      </c>
      <c r="C5" s="23" t="s">
        <v>73</v>
      </c>
      <c r="D5" s="23"/>
    </row>
    <row r="6" spans="1:4" ht="14.45" x14ac:dyDescent="0.3">
      <c r="A6" s="22">
        <v>103</v>
      </c>
      <c r="B6" s="22" t="s">
        <v>75</v>
      </c>
      <c r="C6" s="22"/>
      <c r="D6" s="22"/>
    </row>
    <row r="7" spans="1:4" ht="14.45" x14ac:dyDescent="0.3">
      <c r="A7" s="23">
        <v>104</v>
      </c>
      <c r="B7" s="23" t="s">
        <v>90</v>
      </c>
      <c r="C7" s="23"/>
      <c r="D7" s="23"/>
    </row>
    <row r="8" spans="1:4" ht="14.45" x14ac:dyDescent="0.3">
      <c r="A8" s="22">
        <v>105</v>
      </c>
      <c r="B8" s="22" t="s">
        <v>91</v>
      </c>
      <c r="C8" s="22"/>
      <c r="D8" s="22"/>
    </row>
    <row r="9" spans="1:4" ht="14.45" x14ac:dyDescent="0.3">
      <c r="A9" s="23">
        <v>106</v>
      </c>
      <c r="B9" s="23" t="s">
        <v>93</v>
      </c>
      <c r="C9" s="23"/>
      <c r="D9" s="23" t="s">
        <v>94</v>
      </c>
    </row>
    <row r="10" spans="1:4" ht="14.45" x14ac:dyDescent="0.3">
      <c r="A10" s="22">
        <v>107</v>
      </c>
      <c r="B10" s="22" t="s">
        <v>95</v>
      </c>
      <c r="C10" s="22"/>
      <c r="D10" s="22" t="s">
        <v>94</v>
      </c>
    </row>
    <row r="11" spans="1:4" ht="14.45" x14ac:dyDescent="0.3">
      <c r="A11" s="23">
        <v>108</v>
      </c>
      <c r="B11" s="23" t="s">
        <v>96</v>
      </c>
      <c r="C11" s="23"/>
      <c r="D11" s="23" t="s">
        <v>94</v>
      </c>
    </row>
    <row r="12" spans="1:4" ht="14.45" x14ac:dyDescent="0.3">
      <c r="A12" s="22">
        <v>109</v>
      </c>
      <c r="B12" s="22" t="s">
        <v>100</v>
      </c>
      <c r="C12" s="22"/>
      <c r="D12" s="22"/>
    </row>
    <row r="13" spans="1:4" x14ac:dyDescent="0.25">
      <c r="A13" s="23">
        <v>110</v>
      </c>
      <c r="B13" s="196" t="s">
        <v>101</v>
      </c>
      <c r="C13" s="23"/>
      <c r="D13" s="23"/>
    </row>
    <row r="14" spans="1:4" ht="14.45" x14ac:dyDescent="0.3">
      <c r="A14" s="22">
        <v>111</v>
      </c>
      <c r="B14" s="22" t="s">
        <v>102</v>
      </c>
      <c r="C14" s="22"/>
      <c r="D14" s="22"/>
    </row>
    <row r="15" spans="1:4" ht="14.45" x14ac:dyDescent="0.3">
      <c r="A15" s="23">
        <v>112</v>
      </c>
      <c r="B15" s="23" t="s">
        <v>103</v>
      </c>
      <c r="C15" s="23"/>
      <c r="D15" s="23"/>
    </row>
    <row r="16" spans="1:4" ht="14.45" x14ac:dyDescent="0.3">
      <c r="A16" s="22">
        <v>113</v>
      </c>
      <c r="B16" s="22" t="s">
        <v>104</v>
      </c>
      <c r="C16" s="22"/>
      <c r="D16" s="22"/>
    </row>
    <row r="17" spans="1:4" ht="14.45" x14ac:dyDescent="0.3">
      <c r="A17" s="23">
        <v>114</v>
      </c>
      <c r="B17" s="23" t="s">
        <v>108</v>
      </c>
      <c r="C17" s="23"/>
      <c r="D17" s="23"/>
    </row>
    <row r="18" spans="1:4" ht="14.45" x14ac:dyDescent="0.3">
      <c r="A18" s="22">
        <v>115</v>
      </c>
      <c r="B18" s="22" t="s">
        <v>109</v>
      </c>
      <c r="C18" s="22"/>
      <c r="D18" s="22"/>
    </row>
    <row r="19" spans="1:4" ht="14.45" x14ac:dyDescent="0.3">
      <c r="A19" s="23">
        <v>116</v>
      </c>
      <c r="B19" s="23" t="s">
        <v>111</v>
      </c>
      <c r="C19" s="23"/>
      <c r="D19" s="23"/>
    </row>
    <row r="20" spans="1:4" ht="14.45" x14ac:dyDescent="0.3">
      <c r="A20" s="22">
        <v>117</v>
      </c>
      <c r="B20" s="22" t="s">
        <v>112</v>
      </c>
      <c r="C20" s="22"/>
      <c r="D20" s="22"/>
    </row>
    <row r="21" spans="1:4" ht="14.45" x14ac:dyDescent="0.3">
      <c r="A21" s="23">
        <v>118</v>
      </c>
      <c r="B21" s="23" t="s">
        <v>114</v>
      </c>
      <c r="C21" s="23"/>
      <c r="D21" s="23"/>
    </row>
    <row r="22" spans="1:4" ht="14.45" x14ac:dyDescent="0.3">
      <c r="A22" s="22">
        <v>119</v>
      </c>
      <c r="B22" s="22" t="s">
        <v>115</v>
      </c>
      <c r="C22" s="22"/>
      <c r="D22" s="22"/>
    </row>
    <row r="23" spans="1:4" ht="14.45" x14ac:dyDescent="0.3">
      <c r="A23" s="23">
        <v>120</v>
      </c>
      <c r="B23" s="23" t="s">
        <v>117</v>
      </c>
      <c r="C23" s="23"/>
      <c r="D23" s="23"/>
    </row>
    <row r="24" spans="1:4" ht="14.45" x14ac:dyDescent="0.3">
      <c r="A24" s="22">
        <v>121</v>
      </c>
      <c r="B24" s="22" t="s">
        <v>118</v>
      </c>
      <c r="C24" s="22"/>
      <c r="D24" s="22"/>
    </row>
    <row r="25" spans="1:4" x14ac:dyDescent="0.25">
      <c r="A25" s="23">
        <v>122</v>
      </c>
      <c r="B25" s="23" t="s">
        <v>120</v>
      </c>
      <c r="C25" s="23"/>
      <c r="D25" s="23"/>
    </row>
    <row r="26" spans="1:4" ht="14.45" x14ac:dyDescent="0.3">
      <c r="A26" s="22">
        <v>123</v>
      </c>
      <c r="B26" s="22" t="s">
        <v>122</v>
      </c>
      <c r="C26" s="22"/>
      <c r="D26" s="22"/>
    </row>
    <row r="27" spans="1:4" ht="14.45" x14ac:dyDescent="0.3">
      <c r="A27" s="23">
        <v>124</v>
      </c>
      <c r="B27" s="23" t="s">
        <v>123</v>
      </c>
      <c r="C27" s="23"/>
      <c r="D27" s="23"/>
    </row>
    <row r="28" spans="1:4" ht="14.45" x14ac:dyDescent="0.3">
      <c r="A28" s="22">
        <v>125</v>
      </c>
      <c r="B28" s="22" t="s">
        <v>128</v>
      </c>
      <c r="C28" s="22"/>
      <c r="D28" s="22"/>
    </row>
    <row r="29" spans="1:4" ht="14.45" x14ac:dyDescent="0.3">
      <c r="A29" s="23">
        <v>126</v>
      </c>
      <c r="B29" s="23" t="s">
        <v>129</v>
      </c>
      <c r="C29" s="23"/>
      <c r="D29" s="23"/>
    </row>
    <row r="30" spans="1:4" ht="14.45" x14ac:dyDescent="0.3">
      <c r="A30" s="22">
        <v>127</v>
      </c>
      <c r="B30" s="22" t="s">
        <v>131</v>
      </c>
      <c r="C30" s="22"/>
      <c r="D30" s="22"/>
    </row>
    <row r="31" spans="1:4" ht="14.45" x14ac:dyDescent="0.3">
      <c r="A31" s="23">
        <v>128</v>
      </c>
      <c r="B31" s="23" t="s">
        <v>133</v>
      </c>
      <c r="C31" s="23"/>
      <c r="D31" s="23"/>
    </row>
    <row r="32" spans="1:4" ht="14.45" x14ac:dyDescent="0.3">
      <c r="A32" s="22">
        <v>129</v>
      </c>
      <c r="B32" s="22" t="s">
        <v>135</v>
      </c>
      <c r="C32" s="22"/>
      <c r="D32" s="22"/>
    </row>
    <row r="33" spans="1:4" x14ac:dyDescent="0.25">
      <c r="A33" s="23">
        <v>130</v>
      </c>
      <c r="B33" s="23" t="s">
        <v>136</v>
      </c>
      <c r="C33" s="23"/>
      <c r="D33" s="23"/>
    </row>
    <row r="34" spans="1:4" ht="14.45" x14ac:dyDescent="0.3">
      <c r="A34" s="22">
        <v>131</v>
      </c>
      <c r="B34" s="22" t="s">
        <v>144</v>
      </c>
      <c r="C34" s="22"/>
      <c r="D34" s="22"/>
    </row>
    <row r="35" spans="1:4" ht="14.45" x14ac:dyDescent="0.3">
      <c r="A35" s="23">
        <v>132</v>
      </c>
      <c r="B35" s="23" t="s">
        <v>146</v>
      </c>
      <c r="C35" s="23"/>
      <c r="D35" s="23"/>
    </row>
    <row r="36" spans="1:4" ht="14.45" x14ac:dyDescent="0.3">
      <c r="A36" s="22">
        <v>133</v>
      </c>
      <c r="B36" s="22" t="s">
        <v>147</v>
      </c>
      <c r="C36" s="22"/>
      <c r="D36" s="22"/>
    </row>
    <row r="37" spans="1:4" ht="14.45" x14ac:dyDescent="0.3">
      <c r="A37" s="23">
        <v>134</v>
      </c>
      <c r="B37" s="23" t="s">
        <v>148</v>
      </c>
      <c r="C37" s="23"/>
      <c r="D37" s="23"/>
    </row>
    <row r="38" spans="1:4" ht="14.45" x14ac:dyDescent="0.3">
      <c r="A38" s="22">
        <v>135</v>
      </c>
      <c r="B38" s="22" t="s">
        <v>149</v>
      </c>
      <c r="C38" s="22"/>
      <c r="D38" s="22"/>
    </row>
    <row r="39" spans="1:4" x14ac:dyDescent="0.25">
      <c r="A39" s="23">
        <v>136</v>
      </c>
      <c r="B39" s="23" t="s">
        <v>166</v>
      </c>
      <c r="C39" s="23"/>
      <c r="D39" s="23"/>
    </row>
    <row r="40" spans="1:4" x14ac:dyDescent="0.25">
      <c r="A40" s="22">
        <v>137</v>
      </c>
      <c r="B40" s="22" t="s">
        <v>154</v>
      </c>
      <c r="C40" s="22"/>
      <c r="D40" s="22"/>
    </row>
    <row r="41" spans="1:4" x14ac:dyDescent="0.25">
      <c r="A41" s="23">
        <v>138</v>
      </c>
      <c r="B41" s="23" t="s">
        <v>255</v>
      </c>
      <c r="C41" s="23"/>
      <c r="D41" s="23"/>
    </row>
    <row r="42" spans="1:4" x14ac:dyDescent="0.25">
      <c r="A42" s="22">
        <v>139</v>
      </c>
      <c r="B42" s="22" t="s">
        <v>164</v>
      </c>
      <c r="C42" s="22"/>
      <c r="D42" s="22"/>
    </row>
    <row r="43" spans="1:4" x14ac:dyDescent="0.25">
      <c r="A43" s="23">
        <v>140</v>
      </c>
      <c r="B43" s="23" t="s">
        <v>170</v>
      </c>
      <c r="C43" s="23"/>
      <c r="D43" s="23"/>
    </row>
    <row r="44" spans="1:4" x14ac:dyDescent="0.25">
      <c r="A44" s="22">
        <v>141</v>
      </c>
      <c r="B44" s="22" t="s">
        <v>171</v>
      </c>
      <c r="C44" s="22"/>
      <c r="D44" s="22"/>
    </row>
    <row r="45" spans="1:4" x14ac:dyDescent="0.25">
      <c r="A45" s="23">
        <v>142</v>
      </c>
      <c r="B45" s="23" t="s">
        <v>172</v>
      </c>
      <c r="C45" s="23"/>
      <c r="D45" s="23"/>
    </row>
    <row r="46" spans="1:4" x14ac:dyDescent="0.25">
      <c r="A46" s="22">
        <v>143</v>
      </c>
      <c r="B46" s="22" t="s">
        <v>173</v>
      </c>
      <c r="C46" s="22"/>
      <c r="D46" s="22"/>
    </row>
    <row r="47" spans="1:4" x14ac:dyDescent="0.25">
      <c r="A47" s="23">
        <v>144</v>
      </c>
      <c r="B47" s="23" t="s">
        <v>175</v>
      </c>
      <c r="C47" s="23"/>
      <c r="D47" s="23"/>
    </row>
    <row r="48" spans="1:4" x14ac:dyDescent="0.25">
      <c r="A48" s="22">
        <v>145</v>
      </c>
      <c r="B48" s="22" t="s">
        <v>176</v>
      </c>
      <c r="C48" s="22"/>
      <c r="D48" s="22"/>
    </row>
    <row r="49" spans="1:4" x14ac:dyDescent="0.25">
      <c r="A49" s="23">
        <v>146</v>
      </c>
      <c r="B49" s="23" t="s">
        <v>178</v>
      </c>
      <c r="C49" s="23"/>
      <c r="D49" s="23"/>
    </row>
    <row r="50" spans="1:4" x14ac:dyDescent="0.25">
      <c r="A50" s="22">
        <v>147</v>
      </c>
      <c r="B50" s="22" t="s">
        <v>189</v>
      </c>
      <c r="C50" s="22"/>
      <c r="D50" s="22"/>
    </row>
    <row r="51" spans="1:4" x14ac:dyDescent="0.25">
      <c r="A51" s="23">
        <v>148</v>
      </c>
      <c r="B51" s="23" t="s">
        <v>196</v>
      </c>
      <c r="C51" s="23"/>
      <c r="D51" s="23"/>
    </row>
    <row r="52" spans="1:4" x14ac:dyDescent="0.25">
      <c r="A52" s="22">
        <v>149</v>
      </c>
      <c r="B52" s="197" t="s">
        <v>198</v>
      </c>
      <c r="C52" s="22"/>
      <c r="D52" s="22"/>
    </row>
    <row r="53" spans="1:4" x14ac:dyDescent="0.25">
      <c r="A53" s="23">
        <v>150</v>
      </c>
      <c r="B53" s="23" t="s">
        <v>199</v>
      </c>
      <c r="C53" s="23"/>
      <c r="D53" s="23"/>
    </row>
    <row r="54" spans="1:4" x14ac:dyDescent="0.25">
      <c r="A54" s="22">
        <v>151</v>
      </c>
      <c r="B54" s="22" t="s">
        <v>241</v>
      </c>
      <c r="C54" s="22"/>
      <c r="D54" s="22"/>
    </row>
    <row r="55" spans="1:4" x14ac:dyDescent="0.25">
      <c r="A55" s="23">
        <v>152</v>
      </c>
      <c r="B55" s="23" t="s">
        <v>237</v>
      </c>
      <c r="C55" s="23"/>
      <c r="D55" s="23"/>
    </row>
    <row r="56" spans="1:4" x14ac:dyDescent="0.25">
      <c r="A56" s="22">
        <v>153</v>
      </c>
      <c r="B56" s="22" t="s">
        <v>77</v>
      </c>
      <c r="C56" s="22"/>
      <c r="D56" s="22"/>
    </row>
    <row r="57" spans="1:4" x14ac:dyDescent="0.25">
      <c r="A57" s="23">
        <v>154</v>
      </c>
      <c r="B57" s="23" t="s">
        <v>238</v>
      </c>
      <c r="C57" s="23"/>
      <c r="D57" s="23"/>
    </row>
    <row r="58" spans="1:4" x14ac:dyDescent="0.25">
      <c r="A58" s="22">
        <v>155</v>
      </c>
      <c r="B58" s="22" t="s">
        <v>246</v>
      </c>
      <c r="C58" s="22"/>
      <c r="D58" s="22"/>
    </row>
    <row r="59" spans="1:4" x14ac:dyDescent="0.25">
      <c r="A59" s="23">
        <v>156</v>
      </c>
      <c r="B59" s="23" t="s">
        <v>249</v>
      </c>
      <c r="C59" s="23"/>
      <c r="D59" s="23"/>
    </row>
    <row r="60" spans="1:4" x14ac:dyDescent="0.25">
      <c r="A60" s="22">
        <v>157</v>
      </c>
      <c r="B60" s="22" t="s">
        <v>253</v>
      </c>
      <c r="C60" s="22"/>
      <c r="D60" s="22"/>
    </row>
    <row r="61" spans="1:4" x14ac:dyDescent="0.25">
      <c r="A61" s="22">
        <v>158</v>
      </c>
      <c r="B61" s="23" t="s">
        <v>258</v>
      </c>
      <c r="C61" s="23"/>
      <c r="D61" s="23"/>
    </row>
    <row r="62" spans="1:4" x14ac:dyDescent="0.25">
      <c r="A62" s="23">
        <v>159</v>
      </c>
      <c r="B62" s="22" t="s">
        <v>259</v>
      </c>
      <c r="C62" s="22"/>
      <c r="D62" s="22"/>
    </row>
    <row r="63" spans="1:4" x14ac:dyDescent="0.25">
      <c r="A63" s="22">
        <v>160</v>
      </c>
      <c r="B63" s="23" t="s">
        <v>261</v>
      </c>
      <c r="C63" s="23"/>
      <c r="D63" s="23"/>
    </row>
    <row r="64" spans="1:4" x14ac:dyDescent="0.25">
      <c r="A64" s="23">
        <v>161</v>
      </c>
      <c r="B64" s="22" t="s">
        <v>266</v>
      </c>
      <c r="C64" s="22"/>
      <c r="D64" s="22"/>
    </row>
    <row r="65" spans="1:4" x14ac:dyDescent="0.25">
      <c r="A65" s="22">
        <v>162</v>
      </c>
      <c r="B65" s="23" t="s">
        <v>273</v>
      </c>
      <c r="C65" s="23"/>
      <c r="D65" s="23"/>
    </row>
    <row r="66" spans="1:4" x14ac:dyDescent="0.25">
      <c r="A66" s="22">
        <v>163</v>
      </c>
      <c r="B66" s="22" t="s">
        <v>284</v>
      </c>
      <c r="C66" s="22"/>
      <c r="D66" s="22"/>
    </row>
    <row r="67" spans="1:4" x14ac:dyDescent="0.25">
      <c r="A67" s="23">
        <v>164</v>
      </c>
      <c r="B67" s="23" t="s">
        <v>346</v>
      </c>
      <c r="C67" s="23"/>
      <c r="D67" s="23"/>
    </row>
    <row r="68" spans="1:4" x14ac:dyDescent="0.25">
      <c r="A68" s="22">
        <v>165</v>
      </c>
      <c r="B68" s="22" t="s">
        <v>356</v>
      </c>
      <c r="C68" s="22"/>
      <c r="D68" s="22"/>
    </row>
    <row r="69" spans="1:4" x14ac:dyDescent="0.25">
      <c r="A69" s="23">
        <v>166</v>
      </c>
      <c r="B69" s="23" t="s">
        <v>365</v>
      </c>
      <c r="C69" s="23"/>
      <c r="D69" s="23"/>
    </row>
    <row r="70" spans="1:4" x14ac:dyDescent="0.25">
      <c r="A70" s="22">
        <v>167</v>
      </c>
      <c r="B70" s="22" t="s">
        <v>369</v>
      </c>
      <c r="C70" s="22"/>
      <c r="D70" s="22"/>
    </row>
    <row r="71" spans="1:4" x14ac:dyDescent="0.25">
      <c r="A71" s="22">
        <v>168</v>
      </c>
      <c r="B71" s="23" t="s">
        <v>373</v>
      </c>
      <c r="C71" s="23"/>
      <c r="D71" s="23"/>
    </row>
    <row r="72" spans="1:4" x14ac:dyDescent="0.25">
      <c r="A72" s="23">
        <v>169</v>
      </c>
      <c r="B72" s="22" t="s">
        <v>376</v>
      </c>
      <c r="C72" s="22"/>
      <c r="D72" s="22"/>
    </row>
    <row r="73" spans="1:4" x14ac:dyDescent="0.25">
      <c r="A73" s="22">
        <v>170</v>
      </c>
      <c r="B73" s="23" t="s">
        <v>389</v>
      </c>
      <c r="C73" s="23"/>
      <c r="D73" s="23"/>
    </row>
    <row r="74" spans="1:4" x14ac:dyDescent="0.25">
      <c r="A74" s="22">
        <v>171</v>
      </c>
      <c r="B74" s="22" t="s">
        <v>394</v>
      </c>
      <c r="C74" s="22"/>
      <c r="D74" s="22"/>
    </row>
    <row r="75" spans="1:4" x14ac:dyDescent="0.25">
      <c r="A75" s="23">
        <v>172</v>
      </c>
      <c r="B75" s="23" t="s">
        <v>404</v>
      </c>
      <c r="C75" s="23"/>
      <c r="D75" s="23"/>
    </row>
    <row r="76" spans="1:4" x14ac:dyDescent="0.25">
      <c r="A76" s="22">
        <v>173</v>
      </c>
      <c r="B76" s="22" t="s">
        <v>427</v>
      </c>
      <c r="C76" s="22"/>
      <c r="D76" s="22"/>
    </row>
    <row r="77" spans="1:4" x14ac:dyDescent="0.25">
      <c r="A77" s="23">
        <v>174</v>
      </c>
      <c r="B77" s="23" t="s">
        <v>428</v>
      </c>
      <c r="C77" s="23"/>
      <c r="D77" s="23"/>
    </row>
    <row r="78" spans="1:4" x14ac:dyDescent="0.25">
      <c r="A78" s="22">
        <v>175</v>
      </c>
      <c r="B78" s="22" t="s">
        <v>429</v>
      </c>
      <c r="C78" s="22"/>
      <c r="D78" s="22"/>
    </row>
    <row r="79" spans="1:4" x14ac:dyDescent="0.25">
      <c r="A79" s="23">
        <v>176</v>
      </c>
      <c r="B79" s="23" t="s">
        <v>437</v>
      </c>
      <c r="C79" s="23"/>
      <c r="D79" s="23"/>
    </row>
    <row r="80" spans="1:4" x14ac:dyDescent="0.25">
      <c r="A80" s="22">
        <v>177</v>
      </c>
      <c r="B80" s="22" t="s">
        <v>440</v>
      </c>
      <c r="C80" s="22"/>
      <c r="D80" s="22"/>
    </row>
    <row r="81" spans="1:4" x14ac:dyDescent="0.25">
      <c r="A81" s="23">
        <v>178</v>
      </c>
      <c r="B81" s="23" t="s">
        <v>441</v>
      </c>
      <c r="C81" s="23"/>
      <c r="D81" s="23"/>
    </row>
    <row r="82" spans="1:4" x14ac:dyDescent="0.25">
      <c r="A82" s="22">
        <v>179</v>
      </c>
      <c r="B82" s="22" t="s">
        <v>448</v>
      </c>
      <c r="C82" s="22"/>
      <c r="D82" s="22"/>
    </row>
    <row r="83" spans="1:4" x14ac:dyDescent="0.25">
      <c r="A83" s="23">
        <v>180</v>
      </c>
      <c r="B83" s="23" t="s">
        <v>449</v>
      </c>
      <c r="C83" s="23"/>
      <c r="D83" s="23"/>
    </row>
    <row r="84" spans="1:4" x14ac:dyDescent="0.25">
      <c r="A84" s="22">
        <v>181</v>
      </c>
      <c r="B84" s="22" t="s">
        <v>450</v>
      </c>
      <c r="C84" s="22"/>
      <c r="D84" s="22"/>
    </row>
    <row r="85" spans="1:4" x14ac:dyDescent="0.25">
      <c r="A85" s="23">
        <v>182</v>
      </c>
      <c r="B85" s="23" t="s">
        <v>453</v>
      </c>
      <c r="C85" s="23"/>
      <c r="D85" s="23"/>
    </row>
    <row r="86" spans="1:4" x14ac:dyDescent="0.25">
      <c r="A86" s="22">
        <v>183</v>
      </c>
      <c r="B86" s="22" t="s">
        <v>454</v>
      </c>
      <c r="C86" s="22"/>
      <c r="D86" s="22"/>
    </row>
    <row r="87" spans="1:4" x14ac:dyDescent="0.25">
      <c r="A87" s="23">
        <v>184</v>
      </c>
      <c r="B87" s="23" t="s">
        <v>469</v>
      </c>
      <c r="C87" s="23"/>
      <c r="D87" s="23"/>
    </row>
    <row r="88" spans="1:4" x14ac:dyDescent="0.25">
      <c r="A88" s="22">
        <v>185</v>
      </c>
      <c r="B88" s="22" t="s">
        <v>471</v>
      </c>
      <c r="C88" s="22"/>
      <c r="D88" s="22"/>
    </row>
    <row r="89" spans="1:4" x14ac:dyDescent="0.25">
      <c r="A89" s="23"/>
      <c r="B89" s="23"/>
      <c r="C89" s="23"/>
      <c r="D89" s="23"/>
    </row>
    <row r="90" spans="1:4" x14ac:dyDescent="0.25">
      <c r="A90" s="22"/>
      <c r="B90" s="22"/>
      <c r="C90" s="22"/>
      <c r="D90" s="22"/>
    </row>
    <row r="91" spans="1:4" x14ac:dyDescent="0.25">
      <c r="A91" s="23"/>
      <c r="B91" s="23"/>
      <c r="C91" s="23"/>
      <c r="D91" s="23"/>
    </row>
    <row r="92" spans="1:4" x14ac:dyDescent="0.25">
      <c r="A92" s="22"/>
      <c r="B92" s="22"/>
      <c r="C92" s="22"/>
      <c r="D92" s="22"/>
    </row>
    <row r="93" spans="1:4" x14ac:dyDescent="0.25">
      <c r="A93" s="23"/>
      <c r="B93" s="23"/>
      <c r="C93" s="23"/>
      <c r="D93" s="23"/>
    </row>
    <row r="94" spans="1:4" x14ac:dyDescent="0.25">
      <c r="A94" s="22"/>
      <c r="B94" s="22"/>
      <c r="C94" s="22"/>
      <c r="D94" s="22"/>
    </row>
    <row r="95" spans="1:4" x14ac:dyDescent="0.25">
      <c r="A95" s="23"/>
      <c r="B95" s="23"/>
      <c r="C95" s="23"/>
      <c r="D95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S46"/>
  <sheetViews>
    <sheetView workbookViewId="0">
      <selection activeCell="A51" sqref="A51"/>
    </sheetView>
  </sheetViews>
  <sheetFormatPr defaultColWidth="11.42578125" defaultRowHeight="15" x14ac:dyDescent="0.25"/>
  <cols>
    <col min="7" max="7" width="43.85546875" customWidth="1"/>
    <col min="8" max="8" width="14.5703125" customWidth="1"/>
  </cols>
  <sheetData>
    <row r="3" spans="1:19" thickBot="1" x14ac:dyDescent="0.35"/>
    <row r="4" spans="1:19" ht="15.75" x14ac:dyDescent="0.25">
      <c r="A4" t="s">
        <v>121</v>
      </c>
      <c r="B4" s="107" t="s">
        <v>57</v>
      </c>
      <c r="C4" s="108" t="s">
        <v>58</v>
      </c>
      <c r="D4" s="107" t="s">
        <v>59</v>
      </c>
      <c r="E4" s="108" t="s">
        <v>60</v>
      </c>
      <c r="F4" s="107" t="s">
        <v>61</v>
      </c>
      <c r="G4" s="107" t="s">
        <v>62</v>
      </c>
      <c r="H4" s="107" t="s">
        <v>63</v>
      </c>
      <c r="I4" s="107" t="s">
        <v>64</v>
      </c>
      <c r="J4" s="107" t="s">
        <v>65</v>
      </c>
      <c r="K4" s="107" t="s">
        <v>167</v>
      </c>
      <c r="L4" s="107" t="s">
        <v>168</v>
      </c>
      <c r="M4" s="107" t="s">
        <v>169</v>
      </c>
      <c r="N4" s="108" t="s">
        <v>98</v>
      </c>
      <c r="O4" s="107" t="s">
        <v>68</v>
      </c>
      <c r="P4" s="107" t="s">
        <v>76</v>
      </c>
      <c r="S4" t="s">
        <v>277</v>
      </c>
    </row>
    <row r="5" spans="1:19" ht="14.45" x14ac:dyDescent="0.3">
      <c r="A5" s="54">
        <v>1</v>
      </c>
      <c r="B5" s="84">
        <v>103</v>
      </c>
      <c r="C5" s="54" t="str">
        <f>IF(ISERROR(VLOOKUP(B5,CLIENTES!A:B,2,0)),"",VLOOKUP(B5,CLIENTES!A:B,2,0))</f>
        <v xml:space="preserve">Wenrit Corro </v>
      </c>
      <c r="D5" s="84" t="s">
        <v>30</v>
      </c>
      <c r="E5" s="55">
        <f>IF(ISERROR(VLOOKUP(D5,'Lista de Precio '!A:C,3,0)),"",VLOOKUP(D5,'Lista de Precio '!A:C,3,0))</f>
        <v>45</v>
      </c>
      <c r="F5" s="85">
        <v>45837</v>
      </c>
      <c r="G5" s="86">
        <v>10</v>
      </c>
      <c r="H5" s="86">
        <v>10</v>
      </c>
      <c r="I5" s="86">
        <v>5</v>
      </c>
      <c r="J5" s="86">
        <v>10</v>
      </c>
      <c r="K5" s="86">
        <v>5</v>
      </c>
      <c r="L5" s="86">
        <v>5</v>
      </c>
      <c r="M5" s="86"/>
      <c r="N5" s="55">
        <f>IF(D5="","",E5-G5-H5-I5-J5-K5-L5-M5)</f>
        <v>0</v>
      </c>
      <c r="O5" s="85">
        <v>45898</v>
      </c>
      <c r="P5" s="84"/>
    </row>
    <row r="6" spans="1:19" ht="14.45" x14ac:dyDescent="0.3">
      <c r="A6" s="43">
        <v>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</row>
    <row r="7" spans="1:19" ht="14.45" x14ac:dyDescent="0.3">
      <c r="A7" s="43">
        <v>3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</row>
    <row r="8" spans="1:19" ht="14.45" x14ac:dyDescent="0.3">
      <c r="A8" s="43">
        <v>4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</row>
    <row r="9" spans="1:19" ht="14.45" x14ac:dyDescent="0.3">
      <c r="A9" s="43">
        <v>5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</row>
    <row r="10" spans="1:19" ht="14.45" x14ac:dyDescent="0.3">
      <c r="A10" s="43"/>
      <c r="B10" s="43"/>
      <c r="C10" s="43"/>
      <c r="D10" s="43"/>
      <c r="E10" s="43"/>
      <c r="F10" s="43"/>
      <c r="G10" s="109"/>
      <c r="H10" s="43"/>
      <c r="I10" s="43"/>
      <c r="J10" s="43"/>
      <c r="K10" s="43"/>
      <c r="L10" s="43"/>
      <c r="M10" s="43"/>
      <c r="N10" s="43"/>
      <c r="O10" s="43"/>
      <c r="P10" s="43"/>
    </row>
    <row r="11" spans="1:19" ht="14.45" x14ac:dyDescent="0.3">
      <c r="A11" s="43"/>
      <c r="B11" s="43"/>
      <c r="C11" s="43"/>
      <c r="D11" s="43"/>
      <c r="E11" s="43"/>
      <c r="F11" s="43"/>
      <c r="G11" s="110"/>
      <c r="H11" s="43"/>
      <c r="I11" s="43"/>
      <c r="J11" s="43"/>
      <c r="K11" s="43"/>
      <c r="L11" s="43"/>
      <c r="M11" s="43"/>
      <c r="N11" s="43"/>
      <c r="O11" s="43"/>
      <c r="P11" s="43"/>
    </row>
    <row r="12" spans="1:19" ht="14.45" x14ac:dyDescent="0.3">
      <c r="A12" s="43"/>
      <c r="B12" s="43"/>
      <c r="C12" s="43"/>
      <c r="D12" s="43"/>
      <c r="E12" s="43"/>
      <c r="F12" s="43"/>
      <c r="G12" s="111"/>
      <c r="H12" s="43"/>
      <c r="I12" s="43"/>
      <c r="J12" s="43"/>
      <c r="K12" s="43"/>
      <c r="L12" s="43"/>
      <c r="M12" s="43"/>
      <c r="N12" s="43"/>
      <c r="O12" s="43"/>
      <c r="P12" s="43"/>
    </row>
    <row r="13" spans="1:19" ht="14.45" x14ac:dyDescent="0.3">
      <c r="A13" s="43"/>
      <c r="B13" s="43"/>
      <c r="C13" s="43"/>
      <c r="D13" s="43"/>
      <c r="E13" s="43"/>
      <c r="F13" s="43"/>
      <c r="G13" s="112"/>
      <c r="H13" s="43"/>
      <c r="I13" s="43"/>
      <c r="J13" s="43"/>
      <c r="K13" s="43"/>
      <c r="L13" s="43"/>
      <c r="M13" s="43"/>
      <c r="N13" s="43"/>
      <c r="O13" s="43"/>
      <c r="P13" s="43"/>
    </row>
    <row r="14" spans="1:19" ht="14.45" x14ac:dyDescent="0.3">
      <c r="A14" s="43"/>
      <c r="B14" s="43"/>
      <c r="C14" s="43"/>
      <c r="D14" s="43"/>
      <c r="E14" s="43"/>
      <c r="F14" s="43"/>
      <c r="G14" s="113"/>
      <c r="H14" s="43"/>
      <c r="I14" s="43"/>
      <c r="J14" s="43"/>
      <c r="K14" s="43"/>
      <c r="L14" s="43"/>
      <c r="M14" s="43"/>
      <c r="N14" s="43"/>
      <c r="O14" s="43"/>
      <c r="P14" s="43"/>
    </row>
    <row r="15" spans="1:19" ht="14.45" x14ac:dyDescent="0.3">
      <c r="A15" s="43"/>
      <c r="B15" s="43"/>
      <c r="C15" s="43"/>
      <c r="D15" s="43"/>
      <c r="E15" s="43"/>
      <c r="F15" s="43"/>
      <c r="G15" s="114"/>
      <c r="H15" s="43"/>
      <c r="I15" s="43"/>
      <c r="J15" s="43"/>
      <c r="K15" s="43"/>
      <c r="L15" s="43"/>
      <c r="M15" s="43"/>
      <c r="N15" s="43"/>
      <c r="O15" s="43"/>
      <c r="P15" s="43"/>
    </row>
    <row r="16" spans="1:19" ht="14.45" x14ac:dyDescent="0.3">
      <c r="A16" s="43"/>
      <c r="B16" s="43"/>
      <c r="C16" s="43"/>
      <c r="D16" s="43"/>
      <c r="E16" s="43"/>
      <c r="F16" s="43"/>
      <c r="G16" s="109"/>
      <c r="H16" s="43"/>
      <c r="I16" s="43"/>
      <c r="J16" s="43"/>
      <c r="K16" s="43"/>
      <c r="L16" s="43"/>
      <c r="M16" s="43"/>
      <c r="N16" s="43"/>
      <c r="O16" s="43"/>
      <c r="P16" s="43"/>
    </row>
    <row r="17" spans="1:16" ht="14.45" x14ac:dyDescent="0.3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</row>
    <row r="18" spans="1:16" ht="14.45" x14ac:dyDescent="0.3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</row>
    <row r="19" spans="1:16" ht="14.45" x14ac:dyDescent="0.3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</row>
    <row r="20" spans="1:16" ht="14.45" x14ac:dyDescent="0.3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</row>
    <row r="21" spans="1:16" ht="14.45" x14ac:dyDescent="0.3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</row>
    <row r="22" spans="1:16" ht="14.45" x14ac:dyDescent="0.3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</row>
    <row r="23" spans="1:16" ht="14.45" x14ac:dyDescent="0.3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</row>
    <row r="24" spans="1:16" ht="14.45" x14ac:dyDescent="0.3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</row>
    <row r="25" spans="1:16" ht="14.45" x14ac:dyDescent="0.3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</row>
    <row r="26" spans="1:16" x14ac:dyDescent="0.25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</row>
    <row r="27" spans="1:16" x14ac:dyDescent="0.25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</row>
    <row r="28" spans="1:16" x14ac:dyDescent="0.25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</row>
    <row r="29" spans="1:16" x14ac:dyDescent="0.25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</row>
    <row r="30" spans="1:16" x14ac:dyDescent="0.25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</row>
    <row r="31" spans="1:16" x14ac:dyDescent="0.25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</row>
    <row r="32" spans="1:16" x14ac:dyDescent="0.25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</row>
    <row r="33" spans="1:16" x14ac:dyDescent="0.25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</row>
    <row r="34" spans="1:16" x14ac:dyDescent="0.25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</row>
    <row r="35" spans="1:16" x14ac:dyDescent="0.2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</row>
    <row r="36" spans="1:16" x14ac:dyDescent="0.25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</row>
    <row r="37" spans="1:16" x14ac:dyDescent="0.25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</row>
    <row r="38" spans="1:16" x14ac:dyDescent="0.25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</row>
    <row r="39" spans="1:16" x14ac:dyDescent="0.25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</row>
    <row r="40" spans="1:16" x14ac:dyDescent="0.25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</row>
    <row r="41" spans="1:16" x14ac:dyDescent="0.25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</row>
    <row r="42" spans="1:16" x14ac:dyDescent="0.25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</row>
    <row r="43" spans="1:16" x14ac:dyDescent="0.25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</row>
    <row r="44" spans="1:16" x14ac:dyDescent="0.25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</row>
    <row r="45" spans="1:16" x14ac:dyDescent="0.2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</row>
    <row r="46" spans="1:16" x14ac:dyDescent="0.25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'Lista de Precio '!$A$2:$A$196</xm:f>
          </x14:formula1>
          <xm:sqref>D5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4"/>
  <sheetViews>
    <sheetView topLeftCell="A12" workbookViewId="0">
      <selection sqref="A1:D44"/>
    </sheetView>
  </sheetViews>
  <sheetFormatPr defaultColWidth="11.42578125" defaultRowHeight="15" x14ac:dyDescent="0.25"/>
  <cols>
    <col min="1" max="1" width="73.140625" customWidth="1"/>
    <col min="2" max="2" width="12" customWidth="1"/>
    <col min="3" max="3" width="16.85546875" customWidth="1"/>
    <col min="4" max="4" width="15.42578125" customWidth="1"/>
  </cols>
  <sheetData>
    <row r="1" spans="1:4" ht="19.5" thickTop="1" x14ac:dyDescent="0.3">
      <c r="A1" s="194" t="s">
        <v>336</v>
      </c>
      <c r="B1" s="194" t="s">
        <v>334</v>
      </c>
      <c r="C1" s="194" t="s">
        <v>335</v>
      </c>
      <c r="D1" s="195" t="s">
        <v>425</v>
      </c>
    </row>
    <row r="2" spans="1:4" ht="15.75" x14ac:dyDescent="0.25">
      <c r="A2" s="5" t="s">
        <v>200</v>
      </c>
      <c r="B2" s="193">
        <v>70</v>
      </c>
      <c r="C2" s="191">
        <f>(B2*32.35/100)+B2</f>
        <v>92.644999999999996</v>
      </c>
      <c r="D2" s="191">
        <f>(B2*13.31/100)+B2</f>
        <v>79.317000000000007</v>
      </c>
    </row>
    <row r="3" spans="1:4" ht="15.75" x14ac:dyDescent="0.25">
      <c r="A3" s="8" t="s">
        <v>8</v>
      </c>
      <c r="B3" s="9">
        <v>60</v>
      </c>
      <c r="C3" s="192">
        <f t="shared" ref="C3:C44" si="0">(B3*32.35/100)+B3</f>
        <v>79.41</v>
      </c>
      <c r="D3" s="192">
        <f t="shared" ref="D3:D44" si="1">(B3*13.31/100)+B3</f>
        <v>67.986000000000004</v>
      </c>
    </row>
    <row r="4" spans="1:4" ht="15.75" x14ac:dyDescent="0.25">
      <c r="A4" s="5" t="s">
        <v>293</v>
      </c>
      <c r="B4" s="193">
        <v>65</v>
      </c>
      <c r="C4" s="191">
        <f t="shared" si="0"/>
        <v>86.027500000000003</v>
      </c>
      <c r="D4" s="191">
        <f t="shared" si="1"/>
        <v>73.651499999999999</v>
      </c>
    </row>
    <row r="5" spans="1:4" ht="15.75" x14ac:dyDescent="0.25">
      <c r="A5" s="8" t="s">
        <v>9</v>
      </c>
      <c r="B5" s="9">
        <v>60</v>
      </c>
      <c r="C5" s="192">
        <f t="shared" si="0"/>
        <v>79.41</v>
      </c>
      <c r="D5" s="192">
        <f t="shared" si="1"/>
        <v>67.986000000000004</v>
      </c>
    </row>
    <row r="6" spans="1:4" ht="15.75" x14ac:dyDescent="0.25">
      <c r="A6" s="5" t="s">
        <v>408</v>
      </c>
      <c r="B6" s="193">
        <v>60</v>
      </c>
      <c r="C6" s="191">
        <f t="shared" si="0"/>
        <v>79.41</v>
      </c>
      <c r="D6" s="191">
        <f t="shared" si="1"/>
        <v>67.986000000000004</v>
      </c>
    </row>
    <row r="7" spans="1:4" ht="15.75" x14ac:dyDescent="0.25">
      <c r="A7" s="8" t="s">
        <v>409</v>
      </c>
      <c r="B7" s="9">
        <v>90</v>
      </c>
      <c r="C7" s="192">
        <f t="shared" si="0"/>
        <v>119.11499999999999</v>
      </c>
      <c r="D7" s="192">
        <f t="shared" si="1"/>
        <v>101.979</v>
      </c>
    </row>
    <row r="8" spans="1:4" ht="15.75" x14ac:dyDescent="0.25">
      <c r="A8" s="5" t="s">
        <v>15</v>
      </c>
      <c r="B8" s="193">
        <v>90</v>
      </c>
      <c r="C8" s="191">
        <f t="shared" si="0"/>
        <v>119.11499999999999</v>
      </c>
      <c r="D8" s="191">
        <f t="shared" si="1"/>
        <v>101.979</v>
      </c>
    </row>
    <row r="9" spans="1:4" ht="15.75" x14ac:dyDescent="0.25">
      <c r="A9" s="8" t="s">
        <v>16</v>
      </c>
      <c r="B9" s="9">
        <v>80</v>
      </c>
      <c r="C9" s="192">
        <f t="shared" si="0"/>
        <v>105.88</v>
      </c>
      <c r="D9" s="192">
        <f t="shared" si="1"/>
        <v>90.647999999999996</v>
      </c>
    </row>
    <row r="10" spans="1:4" ht="15.75" x14ac:dyDescent="0.25">
      <c r="A10" s="5" t="s">
        <v>410</v>
      </c>
      <c r="B10" s="193">
        <v>60</v>
      </c>
      <c r="C10" s="191">
        <f t="shared" si="0"/>
        <v>79.41</v>
      </c>
      <c r="D10" s="191">
        <f t="shared" si="1"/>
        <v>67.986000000000004</v>
      </c>
    </row>
    <row r="11" spans="1:4" ht="15.75" x14ac:dyDescent="0.25">
      <c r="A11" s="8" t="s">
        <v>411</v>
      </c>
      <c r="B11" s="9">
        <v>60</v>
      </c>
      <c r="C11" s="192">
        <f t="shared" si="0"/>
        <v>79.41</v>
      </c>
      <c r="D11" s="192">
        <f t="shared" si="1"/>
        <v>67.986000000000004</v>
      </c>
    </row>
    <row r="12" spans="1:4" ht="15.75" x14ac:dyDescent="0.25">
      <c r="A12" s="5" t="s">
        <v>24</v>
      </c>
      <c r="B12" s="193">
        <v>60</v>
      </c>
      <c r="C12" s="191">
        <f t="shared" si="0"/>
        <v>79.41</v>
      </c>
      <c r="D12" s="191">
        <f t="shared" si="1"/>
        <v>67.986000000000004</v>
      </c>
    </row>
    <row r="13" spans="1:4" ht="15.75" x14ac:dyDescent="0.25">
      <c r="A13" s="8" t="s">
        <v>203</v>
      </c>
      <c r="B13" s="9">
        <v>60</v>
      </c>
      <c r="C13" s="192">
        <f t="shared" si="0"/>
        <v>79.41</v>
      </c>
      <c r="D13" s="192">
        <f t="shared" si="1"/>
        <v>67.986000000000004</v>
      </c>
    </row>
    <row r="14" spans="1:4" ht="15.75" x14ac:dyDescent="0.25">
      <c r="A14" s="5" t="s">
        <v>301</v>
      </c>
      <c r="B14" s="193">
        <v>60</v>
      </c>
      <c r="C14" s="191">
        <f t="shared" si="0"/>
        <v>79.41</v>
      </c>
      <c r="D14" s="191">
        <f t="shared" si="1"/>
        <v>67.986000000000004</v>
      </c>
    </row>
    <row r="15" spans="1:4" ht="15.75" x14ac:dyDescent="0.25">
      <c r="A15" s="8" t="s">
        <v>205</v>
      </c>
      <c r="B15" s="9">
        <v>60</v>
      </c>
      <c r="C15" s="192">
        <f t="shared" si="0"/>
        <v>79.41</v>
      </c>
      <c r="D15" s="192">
        <f t="shared" si="1"/>
        <v>67.986000000000004</v>
      </c>
    </row>
    <row r="16" spans="1:4" ht="15.75" x14ac:dyDescent="0.25">
      <c r="A16" s="5" t="s">
        <v>206</v>
      </c>
      <c r="B16" s="193">
        <v>65</v>
      </c>
      <c r="C16" s="191">
        <f t="shared" si="0"/>
        <v>86.027500000000003</v>
      </c>
      <c r="D16" s="191">
        <f t="shared" si="1"/>
        <v>73.651499999999999</v>
      </c>
    </row>
    <row r="17" spans="1:4" ht="15.75" x14ac:dyDescent="0.25">
      <c r="A17" s="8" t="s">
        <v>302</v>
      </c>
      <c r="B17" s="9">
        <v>60</v>
      </c>
      <c r="C17" s="192">
        <f t="shared" si="0"/>
        <v>79.41</v>
      </c>
      <c r="D17" s="192">
        <f t="shared" si="1"/>
        <v>67.986000000000004</v>
      </c>
    </row>
    <row r="18" spans="1:4" ht="15.75" x14ac:dyDescent="0.25">
      <c r="A18" s="5" t="s">
        <v>303</v>
      </c>
      <c r="B18" s="193">
        <v>55</v>
      </c>
      <c r="C18" s="191">
        <f t="shared" si="0"/>
        <v>72.792500000000004</v>
      </c>
      <c r="D18" s="191">
        <f t="shared" si="1"/>
        <v>62.320500000000003</v>
      </c>
    </row>
    <row r="19" spans="1:4" ht="15.75" x14ac:dyDescent="0.25">
      <c r="A19" s="8" t="s">
        <v>179</v>
      </c>
      <c r="B19" s="9">
        <v>60</v>
      </c>
      <c r="C19" s="192">
        <f t="shared" si="0"/>
        <v>79.41</v>
      </c>
      <c r="D19" s="192">
        <f t="shared" si="1"/>
        <v>67.986000000000004</v>
      </c>
    </row>
    <row r="20" spans="1:4" ht="15.75" x14ac:dyDescent="0.25">
      <c r="A20" s="5" t="s">
        <v>412</v>
      </c>
      <c r="B20" s="193">
        <v>20</v>
      </c>
      <c r="C20" s="191">
        <f t="shared" si="0"/>
        <v>26.47</v>
      </c>
      <c r="D20" s="191">
        <f t="shared" si="1"/>
        <v>22.661999999999999</v>
      </c>
    </row>
    <row r="21" spans="1:4" ht="15.75" x14ac:dyDescent="0.25">
      <c r="A21" s="8" t="s">
        <v>209</v>
      </c>
      <c r="B21" s="9">
        <v>20</v>
      </c>
      <c r="C21" s="192">
        <f t="shared" si="0"/>
        <v>26.47</v>
      </c>
      <c r="D21" s="192">
        <f t="shared" si="1"/>
        <v>22.661999999999999</v>
      </c>
    </row>
    <row r="22" spans="1:4" ht="15.75" x14ac:dyDescent="0.25">
      <c r="A22" s="5" t="s">
        <v>210</v>
      </c>
      <c r="B22" s="193">
        <v>20</v>
      </c>
      <c r="C22" s="191">
        <f t="shared" si="0"/>
        <v>26.47</v>
      </c>
      <c r="D22" s="191">
        <f t="shared" si="1"/>
        <v>22.661999999999999</v>
      </c>
    </row>
    <row r="23" spans="1:4" ht="15.75" x14ac:dyDescent="0.25">
      <c r="A23" s="8" t="s">
        <v>211</v>
      </c>
      <c r="B23" s="9">
        <v>20</v>
      </c>
      <c r="C23" s="192">
        <f t="shared" si="0"/>
        <v>26.47</v>
      </c>
      <c r="D23" s="192">
        <f t="shared" si="1"/>
        <v>22.661999999999999</v>
      </c>
    </row>
    <row r="24" spans="1:4" ht="15.75" x14ac:dyDescent="0.25">
      <c r="A24" s="5" t="s">
        <v>212</v>
      </c>
      <c r="B24" s="193">
        <v>20</v>
      </c>
      <c r="C24" s="191">
        <f t="shared" si="0"/>
        <v>26.47</v>
      </c>
      <c r="D24" s="191">
        <f t="shared" si="1"/>
        <v>22.661999999999999</v>
      </c>
    </row>
    <row r="25" spans="1:4" ht="15.75" x14ac:dyDescent="0.25">
      <c r="A25" s="8" t="s">
        <v>413</v>
      </c>
      <c r="B25" s="9">
        <v>20</v>
      </c>
      <c r="C25" s="192">
        <f t="shared" si="0"/>
        <v>26.47</v>
      </c>
      <c r="D25" s="192">
        <f t="shared" si="1"/>
        <v>22.661999999999999</v>
      </c>
    </row>
    <row r="26" spans="1:4" ht="15.75" x14ac:dyDescent="0.25">
      <c r="A26" s="5" t="s">
        <v>414</v>
      </c>
      <c r="B26" s="193">
        <v>20</v>
      </c>
      <c r="C26" s="191">
        <f t="shared" si="0"/>
        <v>26.47</v>
      </c>
      <c r="D26" s="191">
        <f t="shared" si="1"/>
        <v>22.661999999999999</v>
      </c>
    </row>
    <row r="27" spans="1:4" ht="15.75" x14ac:dyDescent="0.25">
      <c r="A27" s="8" t="s">
        <v>415</v>
      </c>
      <c r="B27" s="9">
        <v>45</v>
      </c>
      <c r="C27" s="192">
        <f t="shared" si="0"/>
        <v>59.557499999999997</v>
      </c>
      <c r="D27" s="192">
        <f t="shared" si="1"/>
        <v>50.9895</v>
      </c>
    </row>
    <row r="28" spans="1:4" ht="15.75" x14ac:dyDescent="0.25">
      <c r="A28" s="5" t="s">
        <v>416</v>
      </c>
      <c r="B28" s="193">
        <v>60</v>
      </c>
      <c r="C28" s="191">
        <f t="shared" si="0"/>
        <v>79.41</v>
      </c>
      <c r="D28" s="191">
        <f t="shared" si="1"/>
        <v>67.986000000000004</v>
      </c>
    </row>
    <row r="29" spans="1:4" ht="15.75" x14ac:dyDescent="0.25">
      <c r="A29" s="8" t="s">
        <v>314</v>
      </c>
      <c r="B29" s="9">
        <v>60</v>
      </c>
      <c r="C29" s="192">
        <f t="shared" si="0"/>
        <v>79.41</v>
      </c>
      <c r="D29" s="192">
        <f t="shared" si="1"/>
        <v>67.986000000000004</v>
      </c>
    </row>
    <row r="30" spans="1:4" ht="15.75" x14ac:dyDescent="0.25">
      <c r="A30" s="5" t="s">
        <v>417</v>
      </c>
      <c r="B30" s="193">
        <v>60</v>
      </c>
      <c r="C30" s="191">
        <f t="shared" si="0"/>
        <v>79.41</v>
      </c>
      <c r="D30" s="191">
        <f t="shared" si="1"/>
        <v>67.986000000000004</v>
      </c>
    </row>
    <row r="31" spans="1:4" ht="15.75" x14ac:dyDescent="0.25">
      <c r="A31" s="8" t="s">
        <v>418</v>
      </c>
      <c r="B31" s="9">
        <v>65</v>
      </c>
      <c r="C31" s="192">
        <f t="shared" si="0"/>
        <v>86.027500000000003</v>
      </c>
      <c r="D31" s="192">
        <f t="shared" si="1"/>
        <v>73.651499999999999</v>
      </c>
    </row>
    <row r="32" spans="1:4" ht="15.75" x14ac:dyDescent="0.25">
      <c r="A32" s="5" t="s">
        <v>180</v>
      </c>
      <c r="B32" s="193">
        <v>55</v>
      </c>
      <c r="C32" s="191">
        <f t="shared" si="0"/>
        <v>72.792500000000004</v>
      </c>
      <c r="D32" s="191">
        <f t="shared" si="1"/>
        <v>62.320500000000003</v>
      </c>
    </row>
    <row r="33" spans="1:4" ht="15.75" x14ac:dyDescent="0.25">
      <c r="A33" s="8" t="s">
        <v>419</v>
      </c>
      <c r="B33" s="9">
        <v>60</v>
      </c>
      <c r="C33" s="192">
        <f t="shared" si="0"/>
        <v>79.41</v>
      </c>
      <c r="D33" s="192">
        <f t="shared" si="1"/>
        <v>67.986000000000004</v>
      </c>
    </row>
    <row r="34" spans="1:4" ht="15.75" x14ac:dyDescent="0.25">
      <c r="A34" s="5" t="s">
        <v>320</v>
      </c>
      <c r="B34" s="193">
        <v>60</v>
      </c>
      <c r="C34" s="191">
        <f t="shared" si="0"/>
        <v>79.41</v>
      </c>
      <c r="D34" s="191">
        <f t="shared" si="1"/>
        <v>67.986000000000004</v>
      </c>
    </row>
    <row r="35" spans="1:4" ht="15.75" x14ac:dyDescent="0.25">
      <c r="A35" s="8" t="s">
        <v>321</v>
      </c>
      <c r="B35" s="9">
        <v>60</v>
      </c>
      <c r="C35" s="192">
        <f t="shared" si="0"/>
        <v>79.41</v>
      </c>
      <c r="D35" s="192">
        <f t="shared" si="1"/>
        <v>67.986000000000004</v>
      </c>
    </row>
    <row r="36" spans="1:4" ht="15.75" x14ac:dyDescent="0.25">
      <c r="A36" s="5" t="s">
        <v>420</v>
      </c>
      <c r="B36" s="193">
        <v>55</v>
      </c>
      <c r="C36" s="191">
        <f t="shared" si="0"/>
        <v>72.792500000000004</v>
      </c>
      <c r="D36" s="191">
        <f t="shared" si="1"/>
        <v>62.320500000000003</v>
      </c>
    </row>
    <row r="37" spans="1:4" ht="15.75" x14ac:dyDescent="0.25">
      <c r="A37" s="8" t="s">
        <v>229</v>
      </c>
      <c r="B37" s="9">
        <v>60</v>
      </c>
      <c r="C37" s="192">
        <f t="shared" si="0"/>
        <v>79.41</v>
      </c>
      <c r="D37" s="192">
        <f t="shared" si="1"/>
        <v>67.986000000000004</v>
      </c>
    </row>
    <row r="38" spans="1:4" ht="15.75" x14ac:dyDescent="0.25">
      <c r="A38" s="5" t="s">
        <v>421</v>
      </c>
      <c r="B38" s="193">
        <v>60</v>
      </c>
      <c r="C38" s="191">
        <f t="shared" si="0"/>
        <v>79.41</v>
      </c>
      <c r="D38" s="191">
        <f t="shared" si="1"/>
        <v>67.986000000000004</v>
      </c>
    </row>
    <row r="39" spans="1:4" ht="15.75" x14ac:dyDescent="0.25">
      <c r="A39" s="8" t="s">
        <v>41</v>
      </c>
      <c r="B39" s="9">
        <v>60</v>
      </c>
      <c r="C39" s="192">
        <f t="shared" si="0"/>
        <v>79.41</v>
      </c>
      <c r="D39" s="192">
        <f t="shared" si="1"/>
        <v>67.986000000000004</v>
      </c>
    </row>
    <row r="40" spans="1:4" ht="15.75" x14ac:dyDescent="0.25">
      <c r="A40" s="5" t="s">
        <v>42</v>
      </c>
      <c r="B40" s="193">
        <v>60</v>
      </c>
      <c r="C40" s="191">
        <f t="shared" si="0"/>
        <v>79.41</v>
      </c>
      <c r="D40" s="191">
        <f t="shared" si="1"/>
        <v>67.986000000000004</v>
      </c>
    </row>
    <row r="41" spans="1:4" ht="15.75" x14ac:dyDescent="0.25">
      <c r="A41" s="8" t="s">
        <v>422</v>
      </c>
      <c r="B41" s="9">
        <v>60</v>
      </c>
      <c r="C41" s="192">
        <f t="shared" si="0"/>
        <v>79.41</v>
      </c>
      <c r="D41" s="192">
        <f t="shared" si="1"/>
        <v>67.986000000000004</v>
      </c>
    </row>
    <row r="42" spans="1:4" ht="15.75" x14ac:dyDescent="0.25">
      <c r="A42" s="5" t="s">
        <v>322</v>
      </c>
      <c r="B42" s="193">
        <v>40</v>
      </c>
      <c r="C42" s="191">
        <f t="shared" si="0"/>
        <v>52.94</v>
      </c>
      <c r="D42" s="191">
        <f t="shared" si="1"/>
        <v>45.323999999999998</v>
      </c>
    </row>
    <row r="43" spans="1:4" ht="15.75" x14ac:dyDescent="0.25">
      <c r="A43" s="8" t="s">
        <v>423</v>
      </c>
      <c r="B43" s="9">
        <v>40</v>
      </c>
      <c r="C43" s="192">
        <f t="shared" si="0"/>
        <v>52.94</v>
      </c>
      <c r="D43" s="192">
        <f t="shared" si="1"/>
        <v>45.323999999999998</v>
      </c>
    </row>
    <row r="44" spans="1:4" ht="15.75" x14ac:dyDescent="0.25">
      <c r="A44" s="5" t="s">
        <v>45</v>
      </c>
      <c r="B44" s="193">
        <v>50</v>
      </c>
      <c r="C44" s="191">
        <f t="shared" si="0"/>
        <v>66.174999999999997</v>
      </c>
      <c r="D44" s="191">
        <f t="shared" si="1"/>
        <v>56.655000000000001</v>
      </c>
    </row>
  </sheetData>
  <pageMargins left="0.70866141732283472" right="0.70866141732283472" top="0" bottom="0" header="0.31496062992125984" footer="0.31496062992125984"/>
  <pageSetup paperSize="9"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3"/>
  <sheetViews>
    <sheetView topLeftCell="A13" workbookViewId="0">
      <selection activeCell="E11" sqref="E11"/>
    </sheetView>
  </sheetViews>
  <sheetFormatPr defaultColWidth="11.42578125" defaultRowHeight="15" x14ac:dyDescent="0.25"/>
  <cols>
    <col min="1" max="1" width="73.85546875" customWidth="1"/>
  </cols>
  <sheetData>
    <row r="1" spans="1:2" thickTop="1" x14ac:dyDescent="0.3">
      <c r="A1" s="100" t="s">
        <v>290</v>
      </c>
      <c r="B1" s="124" t="s">
        <v>332</v>
      </c>
    </row>
    <row r="2" spans="1:2" ht="14.45" x14ac:dyDescent="0.3">
      <c r="A2" s="119" t="s">
        <v>291</v>
      </c>
      <c r="B2" s="120">
        <v>1</v>
      </c>
    </row>
    <row r="3" spans="1:2" ht="15.6" x14ac:dyDescent="0.3">
      <c r="A3" s="5" t="s">
        <v>3</v>
      </c>
      <c r="B3" s="5">
        <v>2</v>
      </c>
    </row>
    <row r="4" spans="1:2" ht="15.6" x14ac:dyDescent="0.3">
      <c r="A4" s="8" t="s">
        <v>292</v>
      </c>
      <c r="B4" s="8">
        <v>2</v>
      </c>
    </row>
    <row r="5" spans="1:2" ht="15.6" x14ac:dyDescent="0.3">
      <c r="A5" s="5" t="s">
        <v>200</v>
      </c>
      <c r="B5" s="5">
        <v>1</v>
      </c>
    </row>
    <row r="6" spans="1:2" ht="15.6" x14ac:dyDescent="0.3">
      <c r="A6" s="8" t="s">
        <v>293</v>
      </c>
      <c r="B6" s="8">
        <v>1</v>
      </c>
    </row>
    <row r="7" spans="1:2" ht="15.6" x14ac:dyDescent="0.3">
      <c r="A7" s="5" t="s">
        <v>9</v>
      </c>
      <c r="B7" s="5">
        <v>3</v>
      </c>
    </row>
    <row r="8" spans="1:2" ht="15.6" x14ac:dyDescent="0.3">
      <c r="A8" s="8" t="s">
        <v>10</v>
      </c>
      <c r="B8" s="8">
        <v>1</v>
      </c>
    </row>
    <row r="9" spans="1:2" ht="15.6" x14ac:dyDescent="0.3">
      <c r="A9" s="5" t="s">
        <v>294</v>
      </c>
      <c r="B9" s="5">
        <v>1</v>
      </c>
    </row>
    <row r="10" spans="1:2" ht="15.6" x14ac:dyDescent="0.3">
      <c r="A10" s="8" t="s">
        <v>295</v>
      </c>
      <c r="B10" s="8">
        <v>3</v>
      </c>
    </row>
    <row r="11" spans="1:2" ht="15.6" x14ac:dyDescent="0.3">
      <c r="A11" s="5" t="s">
        <v>296</v>
      </c>
      <c r="B11" s="5">
        <v>2</v>
      </c>
    </row>
    <row r="12" spans="1:2" ht="15.6" x14ac:dyDescent="0.3">
      <c r="A12" s="8" t="s">
        <v>297</v>
      </c>
      <c r="B12" s="8">
        <v>1</v>
      </c>
    </row>
    <row r="13" spans="1:2" ht="15.6" x14ac:dyDescent="0.3">
      <c r="A13" s="5" t="s">
        <v>298</v>
      </c>
      <c r="B13" s="5">
        <v>1</v>
      </c>
    </row>
    <row r="14" spans="1:2" ht="15.6" x14ac:dyDescent="0.3">
      <c r="A14" s="8" t="s">
        <v>21</v>
      </c>
      <c r="B14" s="8">
        <v>2</v>
      </c>
    </row>
    <row r="15" spans="1:2" ht="15.6" x14ac:dyDescent="0.3">
      <c r="A15" s="5" t="s">
        <v>299</v>
      </c>
      <c r="B15" s="5">
        <v>1</v>
      </c>
    </row>
    <row r="16" spans="1:2" ht="15.6" x14ac:dyDescent="0.3">
      <c r="A16" s="8" t="s">
        <v>202</v>
      </c>
      <c r="B16" s="8">
        <v>1</v>
      </c>
    </row>
    <row r="17" spans="1:2" ht="15.6" x14ac:dyDescent="0.3">
      <c r="A17" s="5" t="s">
        <v>300</v>
      </c>
      <c r="B17" s="5">
        <v>1</v>
      </c>
    </row>
    <row r="18" spans="1:2" ht="15.6" x14ac:dyDescent="0.3">
      <c r="A18" s="8" t="s">
        <v>24</v>
      </c>
      <c r="B18" s="8">
        <v>1</v>
      </c>
    </row>
    <row r="19" spans="1:2" ht="15.6" x14ac:dyDescent="0.3">
      <c r="A19" s="5" t="s">
        <v>203</v>
      </c>
      <c r="B19" s="5">
        <v>2</v>
      </c>
    </row>
    <row r="20" spans="1:2" ht="15.6" x14ac:dyDescent="0.3">
      <c r="A20" s="8" t="s">
        <v>204</v>
      </c>
      <c r="B20" s="8">
        <v>2</v>
      </c>
    </row>
    <row r="21" spans="1:2" ht="15.6" x14ac:dyDescent="0.3">
      <c r="A21" s="5" t="s">
        <v>301</v>
      </c>
      <c r="B21" s="5">
        <v>1</v>
      </c>
    </row>
    <row r="22" spans="1:2" ht="15.6" x14ac:dyDescent="0.3">
      <c r="A22" s="8" t="s">
        <v>205</v>
      </c>
      <c r="B22" s="8">
        <v>2</v>
      </c>
    </row>
    <row r="23" spans="1:2" ht="15.6" x14ac:dyDescent="0.3">
      <c r="A23" s="5" t="s">
        <v>302</v>
      </c>
      <c r="B23" s="5">
        <v>4</v>
      </c>
    </row>
    <row r="24" spans="1:2" ht="15.6" x14ac:dyDescent="0.3">
      <c r="A24" s="8" t="s">
        <v>303</v>
      </c>
      <c r="B24" s="8">
        <v>1</v>
      </c>
    </row>
    <row r="25" spans="1:2" ht="15.6" x14ac:dyDescent="0.3">
      <c r="A25" s="5" t="s">
        <v>179</v>
      </c>
      <c r="B25" s="5">
        <v>2</v>
      </c>
    </row>
    <row r="26" spans="1:2" ht="14.45" x14ac:dyDescent="0.3">
      <c r="A26" s="105" t="s">
        <v>304</v>
      </c>
      <c r="B26" s="105">
        <v>0</v>
      </c>
    </row>
    <row r="27" spans="1:2" ht="15.6" x14ac:dyDescent="0.3">
      <c r="A27" s="5" t="s">
        <v>26</v>
      </c>
      <c r="B27" s="5">
        <v>1</v>
      </c>
    </row>
    <row r="28" spans="1:2" ht="15.6" x14ac:dyDescent="0.3">
      <c r="A28" s="8" t="s">
        <v>210</v>
      </c>
      <c r="B28" s="8">
        <v>1</v>
      </c>
    </row>
    <row r="29" spans="1:2" ht="15.6" x14ac:dyDescent="0.3">
      <c r="A29" s="5" t="s">
        <v>221</v>
      </c>
      <c r="B29" s="5">
        <v>3</v>
      </c>
    </row>
    <row r="30" spans="1:2" ht="15.6" x14ac:dyDescent="0.3">
      <c r="A30" s="8" t="s">
        <v>225</v>
      </c>
      <c r="B30" s="8">
        <v>3</v>
      </c>
    </row>
    <row r="31" spans="1:2" ht="15.6" x14ac:dyDescent="0.3">
      <c r="A31" s="5" t="s">
        <v>226</v>
      </c>
      <c r="B31" s="5">
        <v>4</v>
      </c>
    </row>
    <row r="32" spans="1:2" ht="15.6" x14ac:dyDescent="0.3">
      <c r="A32" s="8" t="s">
        <v>305</v>
      </c>
      <c r="B32" s="8">
        <v>1</v>
      </c>
    </row>
    <row r="33" spans="1:2" ht="15.6" x14ac:dyDescent="0.3">
      <c r="A33" s="5" t="s">
        <v>306</v>
      </c>
      <c r="B33" s="5">
        <v>1</v>
      </c>
    </row>
    <row r="34" spans="1:2" ht="15.6" x14ac:dyDescent="0.3">
      <c r="A34" s="8" t="s">
        <v>307</v>
      </c>
      <c r="B34" s="8">
        <v>2</v>
      </c>
    </row>
    <row r="35" spans="1:2" ht="15.6" x14ac:dyDescent="0.3">
      <c r="A35" s="5" t="s">
        <v>308</v>
      </c>
      <c r="B35" s="5">
        <v>2</v>
      </c>
    </row>
    <row r="36" spans="1:2" ht="15.6" x14ac:dyDescent="0.3">
      <c r="A36" s="8" t="s">
        <v>309</v>
      </c>
      <c r="B36" s="8">
        <v>1</v>
      </c>
    </row>
    <row r="37" spans="1:2" ht="15.75" x14ac:dyDescent="0.25">
      <c r="A37" s="5" t="s">
        <v>310</v>
      </c>
      <c r="B37" s="5">
        <v>2</v>
      </c>
    </row>
    <row r="38" spans="1:2" ht="15.75" x14ac:dyDescent="0.25">
      <c r="A38" s="8" t="s">
        <v>311</v>
      </c>
      <c r="B38" s="8">
        <v>2</v>
      </c>
    </row>
    <row r="39" spans="1:2" ht="15.75" x14ac:dyDescent="0.25">
      <c r="A39" s="5" t="s">
        <v>312</v>
      </c>
      <c r="B39" s="5">
        <v>2</v>
      </c>
    </row>
    <row r="40" spans="1:2" ht="15.75" x14ac:dyDescent="0.25">
      <c r="A40" s="8" t="s">
        <v>313</v>
      </c>
      <c r="B40" s="8">
        <v>2</v>
      </c>
    </row>
    <row r="41" spans="1:2" ht="15.75" x14ac:dyDescent="0.25">
      <c r="A41" s="5" t="s">
        <v>314</v>
      </c>
      <c r="B41" s="5">
        <v>5</v>
      </c>
    </row>
    <row r="42" spans="1:2" ht="15.75" x14ac:dyDescent="0.25">
      <c r="A42" s="8" t="s">
        <v>315</v>
      </c>
      <c r="B42" s="8">
        <v>1</v>
      </c>
    </row>
    <row r="43" spans="1:2" ht="15.75" x14ac:dyDescent="0.25">
      <c r="A43" s="5" t="s">
        <v>316</v>
      </c>
      <c r="B43" s="5">
        <v>1</v>
      </c>
    </row>
    <row r="44" spans="1:2" ht="15.75" x14ac:dyDescent="0.25">
      <c r="A44" s="8" t="s">
        <v>317</v>
      </c>
      <c r="B44" s="8">
        <v>1</v>
      </c>
    </row>
    <row r="45" spans="1:2" ht="15.75" x14ac:dyDescent="0.25">
      <c r="A45" s="5" t="s">
        <v>318</v>
      </c>
      <c r="B45" s="5">
        <v>1</v>
      </c>
    </row>
    <row r="46" spans="1:2" ht="15.75" x14ac:dyDescent="0.25">
      <c r="A46" s="8" t="s">
        <v>319</v>
      </c>
      <c r="B46" s="8">
        <v>1</v>
      </c>
    </row>
    <row r="47" spans="1:2" ht="15.75" x14ac:dyDescent="0.25">
      <c r="A47" s="5" t="s">
        <v>182</v>
      </c>
      <c r="B47" s="5">
        <v>2</v>
      </c>
    </row>
    <row r="48" spans="1:2" ht="15.75" x14ac:dyDescent="0.25">
      <c r="A48" s="8" t="s">
        <v>320</v>
      </c>
      <c r="B48" s="8">
        <v>3</v>
      </c>
    </row>
    <row r="49" spans="1:2" ht="15.75" x14ac:dyDescent="0.25">
      <c r="A49" s="5" t="s">
        <v>321</v>
      </c>
      <c r="B49" s="5">
        <v>3</v>
      </c>
    </row>
    <row r="50" spans="1:2" ht="15.75" x14ac:dyDescent="0.25">
      <c r="A50" s="8" t="s">
        <v>229</v>
      </c>
      <c r="B50" s="8">
        <v>1</v>
      </c>
    </row>
    <row r="51" spans="1:2" ht="15.75" x14ac:dyDescent="0.25">
      <c r="A51" s="5" t="s">
        <v>41</v>
      </c>
      <c r="B51" s="5">
        <v>1</v>
      </c>
    </row>
    <row r="52" spans="1:2" ht="15.75" x14ac:dyDescent="0.25">
      <c r="A52" s="8" t="s">
        <v>42</v>
      </c>
      <c r="B52" s="8">
        <v>1</v>
      </c>
    </row>
    <row r="53" spans="1:2" ht="15.75" x14ac:dyDescent="0.25">
      <c r="A53" s="5" t="s">
        <v>322</v>
      </c>
      <c r="B53" s="5">
        <v>2</v>
      </c>
    </row>
    <row r="54" spans="1:2" ht="15.75" x14ac:dyDescent="0.25">
      <c r="A54" s="8" t="s">
        <v>323</v>
      </c>
      <c r="B54" s="8">
        <v>2</v>
      </c>
    </row>
    <row r="55" spans="1:2" ht="15.75" x14ac:dyDescent="0.25">
      <c r="A55" s="5" t="s">
        <v>324</v>
      </c>
      <c r="B55" s="5">
        <v>3</v>
      </c>
    </row>
    <row r="56" spans="1:2" ht="15.75" x14ac:dyDescent="0.25">
      <c r="A56" s="8" t="s">
        <v>325</v>
      </c>
      <c r="B56" s="8">
        <v>2</v>
      </c>
    </row>
    <row r="57" spans="1:2" ht="15.75" x14ac:dyDescent="0.25">
      <c r="A57" s="5" t="s">
        <v>47</v>
      </c>
      <c r="B57" s="5">
        <v>2</v>
      </c>
    </row>
    <row r="58" spans="1:2" ht="15.75" x14ac:dyDescent="0.25">
      <c r="A58" s="8" t="s">
        <v>326</v>
      </c>
      <c r="B58" s="8">
        <v>2</v>
      </c>
    </row>
    <row r="59" spans="1:2" ht="15.75" x14ac:dyDescent="0.25">
      <c r="A59" s="5" t="s">
        <v>327</v>
      </c>
      <c r="B59" s="5">
        <v>2</v>
      </c>
    </row>
    <row r="60" spans="1:2" ht="15.75" x14ac:dyDescent="0.25">
      <c r="A60" s="8" t="s">
        <v>328</v>
      </c>
      <c r="B60" s="8">
        <v>2</v>
      </c>
    </row>
    <row r="61" spans="1:2" ht="15.75" x14ac:dyDescent="0.25">
      <c r="A61" s="5" t="s">
        <v>329</v>
      </c>
      <c r="B61" s="5">
        <v>3</v>
      </c>
    </row>
    <row r="62" spans="1:2" ht="15.75" x14ac:dyDescent="0.25">
      <c r="A62" s="8" t="s">
        <v>186</v>
      </c>
      <c r="B62" s="8">
        <v>4</v>
      </c>
    </row>
    <row r="63" spans="1:2" ht="18.75" x14ac:dyDescent="0.3">
      <c r="A63" s="123" t="s">
        <v>234</v>
      </c>
      <c r="B63" s="122">
        <f>SUM(B2:B62)</f>
        <v>111</v>
      </c>
    </row>
  </sheetData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Lista de Precio </vt:lpstr>
      <vt:lpstr>Ventas</vt:lpstr>
      <vt:lpstr>CLIENTES</vt:lpstr>
      <vt:lpstr>Hoja1</vt:lpstr>
      <vt:lpstr>IMPRIMIR PRECIOS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Csar</dc:creator>
  <cp:lastModifiedBy>Cesar Chourio</cp:lastModifiedBy>
  <cp:lastPrinted>2026-01-01T18:29:48Z</cp:lastPrinted>
  <dcterms:created xsi:type="dcterms:W3CDTF">2025-06-29T19:12:59Z</dcterms:created>
  <dcterms:modified xsi:type="dcterms:W3CDTF">2026-05-25T19:41:06Z</dcterms:modified>
</cp:coreProperties>
</file>